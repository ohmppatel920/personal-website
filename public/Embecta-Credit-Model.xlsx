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cenarios" sheetId="2" state="visible" r:id="rId4"/>
    <sheet name="Drivers" sheetId="3" state="visible" r:id="rId5"/>
    <sheet name="Historicals" sheetId="4" state="visible" r:id="rId6"/>
    <sheet name="Debt" sheetId="5" state="visible" r:id="rId7"/>
    <sheet name="Model" sheetId="6" state="visible" r:id="rId8"/>
    <sheet name="Credit" sheetId="7" state="visible" r:id="rId9"/>
    <sheet name="Check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<sst xmlns="http://schemas.openxmlformats.org/spreadsheetml/2006/main" count="906" uniqueCount="575">
  <si>
    <t xml:space="preserve">EMBECTA CORP. (EMBC): HIGH-YIELD CREDIT MODEL</t>
  </si>
  <si>
    <t xml:space="preserve">Three-statement model with a tranche-level debt schedule and base, downside and stress cases. Built from SEC filings.</t>
  </si>
  <si>
    <t xml:space="preserve">Analyst</t>
  </si>
  <si>
    <t xml:space="preserve">Ohm Patel</t>
  </si>
  <si>
    <t xml:space="preserve">Date</t>
  </si>
  <si>
    <t xml:space="preserve">Issuer</t>
  </si>
  <si>
    <t xml:space="preserve">Embecta Corp. (Nasdaq: EMBC)</t>
  </si>
  <si>
    <t xml:space="preserve">Fiscal year end</t>
  </si>
  <si>
    <t xml:space="preserve">30 September</t>
  </si>
  <si>
    <t xml:space="preserve">Ratings</t>
  </si>
  <si>
    <t xml:space="preserve">S&amp;P B / stable (cut from B+ on 11 May 2026). Moody's B3 per research brief, not yet verified at source.</t>
  </si>
  <si>
    <t xml:space="preserve">Instrument analysed</t>
  </si>
  <si>
    <t xml:space="preserve">5.00% senior secured notes due 15 Feb 2030 ($500m, 1L, pari with TLB/revolver/6.75% notes). CUSIP: confirm on FINRA TRACE.</t>
  </si>
  <si>
    <t xml:space="preserve">Recommendation</t>
  </si>
  <si>
    <t xml:space="preserve">Buy in moderate size: 5.00% senior secured notes due Feb 2030 at about 81 (proxy price, ~12.1% yield to maturity).</t>
  </si>
  <si>
    <t xml:space="preserve">Thesis (1 sentence)</t>
  </si>
  <si>
    <t xml:space="preserve">In the downside the company still covers cash interest 2.1x, stays under the 4.75x covenant and refinances; in stress, first-lien recovery of about 59-85 cents limits the loss.</t>
  </si>
  <si>
    <t xml:space="preserve">Thesis breaks if</t>
  </si>
  <si>
    <t xml:space="preserve">Gross margin about 1.2 points below the downside path (~50% by FY28), equal to covenant EBITDA under ~$213m in FY28.</t>
  </si>
  <si>
    <t xml:space="preserve">Data as of</t>
  </si>
  <si>
    <t xml:space="preserve">Q3 FY26 10-Q (30 Jun 2026). Refresh when the FY26 10-K lands (late Nov 2026).</t>
  </si>
  <si>
    <t xml:space="preserve">KEY METRICS</t>
  </si>
  <si>
    <t xml:space="preserve">LTM Jun-26</t>
  </si>
  <si>
    <t xml:space="preserve">Base</t>
  </si>
  <si>
    <t xml:space="preserve">Downside</t>
  </si>
  <si>
    <t xml:space="preserve">Stress</t>
  </si>
  <si>
    <t xml:space="preserve">Note</t>
  </si>
  <si>
    <t xml:space="preserve">Credit EBITDA (LTM / trough FY26-30)</t>
  </si>
  <si>
    <t xml:space="preserve">Net leverage (LTM / peak)</t>
  </si>
  <si>
    <t xml:space="preserve">Net debt / Credit EBITDA</t>
  </si>
  <si>
    <t xml:space="preserve">Net leverage at FY2028E (pre-refinancing)</t>
  </si>
  <si>
    <t xml:space="preserve">What lenders see when the term loan has to be refinanced</t>
  </si>
  <si>
    <t xml:space="preserve">Covenant-proxy net leverage (LTM / peak)</t>
  </si>
  <si>
    <t xml:space="preserve">Limit 4.75x</t>
  </si>
  <si>
    <t xml:space="preserve">Interest coverage (LTM / trough)</t>
  </si>
  <si>
    <t xml:space="preserve">Credit EBITDA / cash interest</t>
  </si>
  <si>
    <t xml:space="preserve">Cumulative FCF FY26-30</t>
  </si>
  <si>
    <t xml:space="preserve">Total debt FY2030E</t>
  </si>
  <si>
    <t xml:space="preserve">LTM column = Jun-26 principal</t>
  </si>
  <si>
    <t xml:space="preserve">Largest funding shortfall</t>
  </si>
  <si>
    <t xml:space="preserve">Cash needed beyond cash + revolver</t>
  </si>
  <si>
    <t xml:space="preserve">1L recovery at trough</t>
  </si>
  <si>
    <t xml:space="preserve">Distressed EV / net debt (all 1L)</t>
  </si>
  <si>
    <t xml:space="preserve">5.00% notes yield to maturity at proxy price</t>
  </si>
  <si>
    <t xml:space="preserve">price (proxy; replace with TRACE)</t>
  </si>
  <si>
    <t xml:space="preserve">Model integrity</t>
  </si>
  <si>
    <t xml:space="preserve">Active scenario</t>
  </si>
  <si>
    <t xml:space="preserve">LEGEND</t>
  </si>
  <si>
    <t xml:space="preserve">Blue text</t>
  </si>
  <si>
    <t xml:space="preserve">Hardcoded input, typed from a filing or set on Drivers</t>
  </si>
  <si>
    <t xml:space="preserve">Black text</t>
  </si>
  <si>
    <t xml:space="preserve">Formula; do not overwrite</t>
  </si>
  <si>
    <t xml:space="preserve">Green text</t>
  </si>
  <si>
    <t xml:space="preserve">Link from another tab; do not overwrite</t>
  </si>
  <si>
    <t xml:space="preserve">Yellow fill</t>
  </si>
  <si>
    <t xml:space="preserve">The scenario toggle and the sensitivity overlay</t>
  </si>
  <si>
    <t xml:space="preserve">Interest convention</t>
  </si>
  <si>
    <t xml:space="preserve">Calculated on BEGINNING-of-period debt. Kills circularity. Iterative calc stays OFF.</t>
  </si>
  <si>
    <t xml:space="preserve">Sign convention</t>
  </si>
  <si>
    <t xml:space="preserve">Costs, capex and debt repayment POSITIVE on IS/Debt; cash outflows NEGATIVE on the cash flow statement.</t>
  </si>
  <si>
    <t xml:space="preserve">Units</t>
  </si>
  <si>
    <t xml:space="preserve">$ millions unless the row says otherwise. Fiscal years end 30 September.</t>
  </si>
  <si>
    <t xml:space="preserve">EBITDA definition</t>
  </si>
  <si>
    <t xml:space="preserve">Credit EBITDA = EBIT + D&amp;A + non-recurring other opex - asset-sale gains. SBC is NOT added back.</t>
  </si>
  <si>
    <t xml:space="preserve">Scenario snapshot</t>
  </si>
  <si>
    <t xml:space="preserve">Base / Downside / Stress columns are values pasted from three full recalculations. Re-run by changing Scenarios!B3.</t>
  </si>
  <si>
    <t xml:space="preserve">SCENARIO TOGGLE</t>
  </si>
  <si>
    <t xml:space="preserve">Active scenario (1/2/3)</t>
  </si>
  <si>
    <t xml:space="preserve">Reads as</t>
  </si>
  <si>
    <t xml:space="preserve">1 = Base</t>
  </si>
  <si>
    <t xml:space="preserve">Management's FY26 guidance midpoint; US decline slows to mid-single digits; cost-out holds margins near 23%; maturities refinanced at 9%.</t>
  </si>
  <si>
    <t xml:space="preserve">2 = Downside</t>
  </si>
  <si>
    <t xml:space="preserve">Faster GLP-1/AID substitution, continued price concessions and private-label share loss; margins compress; refinancing at 11%.</t>
  </si>
  <si>
    <t xml:space="preserve">3 = Stress</t>
  </si>
  <si>
    <t xml:space="preserve">Downside plus deeper erosion, and the market is shut in FY29-FY30: the Dec-28 revolver, Mar-29 term loan and Feb-30 notes must be repaid from cash.</t>
  </si>
  <si>
    <t xml:space="preserve">Changing B3 reprices every ACTIVE row on Drivers, which flows through Model, Debt, Credit and Checks.</t>
  </si>
  <si>
    <t xml:space="preserve">SCENARIO SNAPSHOT (values)</t>
  </si>
  <si>
    <t xml:space="preserve">Live (active)</t>
  </si>
  <si>
    <t xml:space="preserve">FY2027E revenue</t>
  </si>
  <si>
    <t xml:space="preserve">FY2030E revenue</t>
  </si>
  <si>
    <t xml:space="preserve">Trough Credit EBITDA (FY26-30)</t>
  </si>
  <si>
    <t xml:space="preserve">FY2030E Credit EBITDA</t>
  </si>
  <si>
    <t xml:space="preserve">Net leverage at FY2028E (the refinancing year-end)</t>
  </si>
  <si>
    <t xml:space="preserve">Peak net leverage</t>
  </si>
  <si>
    <t xml:space="preserve">Peak covenant-proxy net leverage</t>
  </si>
  <si>
    <t xml:space="preserve">Trough interest coverage</t>
  </si>
  <si>
    <t xml:space="preserve">Trough (EBITDA - capex) / interest</t>
  </si>
  <si>
    <t xml:space="preserve">Minimum year-end liquidity</t>
  </si>
  <si>
    <t xml:space="preserve">First year not OK</t>
  </si>
  <si>
    <t xml:space="preserve">None</t>
  </si>
  <si>
    <t xml:space="preserve">FY27E COVENANT BREACH</t>
  </si>
  <si>
    <t xml:space="preserve">Snapshot pasted as values after recalculating each scenario (26 Oct 2026). Column H is live for whichever scenario B3 selects.</t>
  </si>
  <si>
    <t xml:space="preserve">THESIS-BREAK SEARCH (values)</t>
  </si>
  <si>
    <t xml:space="preserve">Gross margin cut (pts, FY27-30) that takes BASE to the 4.75x covenant</t>
  </si>
  <si>
    <t xml:space="preserve">Gross margin cut (pts, FY27-30) that takes DOWNSIDE to the 4.75x covenant</t>
  </si>
  <si>
    <t xml:space="preserve">Gross margin cut (pts, FY27-30) that takes DOWNSIDE below 2.0x interest cover</t>
  </si>
  <si>
    <t xml:space="preserve">SENSITIVITY OVERLAY</t>
  </si>
  <si>
    <t xml:space="preserve">Gross margin overlay, FY27-FY30 (pts)</t>
  </si>
  <si>
    <t xml:space="preserve">Leave at 0.0% for the scenarios as written. Enter e.g. -3.0% to cut gross margin by 3 points in every year from FY27 (lost manufacturing leverage beyond the scenario).</t>
  </si>
  <si>
    <t xml:space="preserve">DRIVERS: all forecast assumptions</t>
  </si>
  <si>
    <t xml:space="preserve">Blue = input. Each driver: an ACTIVE row (black, picks the scenario via Scenarios!$B$3) and Base / Downside / Stress input rows. Nothing is hardcoded anywhere else.</t>
  </si>
  <si>
    <t xml:space="preserve">Driver</t>
  </si>
  <si>
    <t xml:space="preserve">Scenario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</si>
  <si>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</si>
  <si>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</si>
  <si>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</si>
  <si>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</si>
  <si>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</si>
  <si>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Source / rationale</t>
  </si>
  <si>
    <t xml:space="preserve">REVENUE: US pen needles split into volume, price and share drivers</t>
  </si>
  <si>
    <t xml:space="preserve">US insulin-pen user volume growth</t>
  </si>
  <si>
    <t xml:space="preserve">ACTIVE</t>
  </si>
  <si>
    <t xml:space="preserve">Fewer injected-insulin users and injections: GLP-1s delaying/replacing T2D basal-bolus insulin, AID pump adoption in T1D (no pen needles), and the shift to lower-cost retail channels after the IRA Part D redesign. S&amp;P (11 May 2026) cites all four. FY26 set so total revenue hits guidance midpoint.</t>
  </si>
  <si>
    <t xml:space="preserve">   US insulin-pen user volume growth</t>
  </si>
  <si>
    <t xml:space="preserve">US net price (customer and payer mix)</t>
  </si>
  <si>
    <t xml:space="preserve">Q3 FY26 call: customer and payer mix had a larger effect on net pricing than in Q2; ~$20m unfavorable price in Q3 alone. Part D plans now carry more of the insulin cost, so they push hard for the cheapest needle.</t>
  </si>
  <si>
    <t xml:space="preserve">   US net price</t>
  </si>
  <si>
    <t xml:space="preserve">US share change (customer wins and losses)</t>
  </si>
  <si>
    <t xml:space="preserve">S&amp;P: a large US retail customer moved to a lower-cost alternative and a lower-cost provider took share at another large customer. Base annualises the FY26 loss into FY27, then holds share. Downside/Stress assume further private-label erosion.</t>
  </si>
  <si>
    <t xml:space="preserve">   US share change</t>
  </si>
  <si>
    <t xml:space="preserve">International (ex-Owen Mumford) growth</t>
  </si>
  <si>
    <t xml:space="preserve">9M FY26 Intl ex-OM +3.8% reported (+3.6% adj cc incl. OM). Generic GLP-1 B2B launches co-packaged with Embecta needles (India, Canada, Brazil) and EM syringes, offset by China softness and BD contract-manufacturing insourcing.</t>
  </si>
  <si>
    <t xml:space="preserve">   International</t>
  </si>
  <si>
    <t xml:space="preserve">Owen Mumford revenue ($mm)</t>
  </si>
  <si>
    <t xml:space="preserve">Closed 15 May 2026; $13.8m revenue in 1.5 months (10-Q Note 3). Pro forma 9M revenue +$54.6m pre-close =&gt; ~$90m annual run-rate. Guide: M&amp;A adds 2.9-3.4% to FY26 growth (~$31-37m). Aidaptus auto-injector growth is the GLP-1-positive leg.</t>
  </si>
  <si>
    <t xml:space="preserve">   Owen Mumford revenue</t>
  </si>
  <si>
    <t xml:space="preserve">COST STRUCTURE (reported lines; COGS and SG&amp;A include D&amp;A and SBC as filed)</t>
  </si>
  <si>
    <t xml:space="preserve">Gross margin %</t>
  </si>
  <si>
    <t xml:space="preserve">FY25 62.6%; 9M FY26 58.7%; Q3 FY26 56.4%. FY26E set so EBITDA + SBC (~$318m) is consistent with the 23.5-24.0% adj. operating margin guide. Lost manufacturing leverage on falling US volume, lower-margin OM mix. S&amp;P sees adj margin -800bp in FY26.</t>
  </si>
  <si>
    <t xml:space="preserve">   Gross margin %</t>
  </si>
  <si>
    <t xml:space="preserve">SG&amp;A % of revenue</t>
  </si>
  <si>
    <t xml:space="preserve">FY25 30.7%; 9M FY26 30.8%. Base assumes cost-out after separation from BD is complete; Downside/Stress assume cuts lag revenue.</t>
  </si>
  <si>
    <t xml:space="preserve">   SG&amp;A % of revenue</t>
  </si>
  <si>
    <t xml:space="preserve">R&amp;D % of revenue</t>
  </si>
  <si>
    <t xml:space="preserve">9M FY26 2.1% after the patch pump program was discontinued (FY25 3.5%, FY24 7.0%).</t>
  </si>
  <si>
    <t xml:space="preserve">   R&amp;D % of revenue</t>
  </si>
  <si>
    <t xml:space="preserve">Other operating expense, non-recurring ($mm)</t>
  </si>
  <si>
    <t xml:space="preserve">9M FY26 gross $37.9m (separation $9.6m, cloud amort $7.8m, acquisition $16.9m, other $3.6m) + ~$10m Q4. Added back to Credit EBITDA but paid in cash, so FCF carries it.</t>
  </si>
  <si>
    <t xml:space="preserve">   Other operating expense, non-recurring</t>
  </si>
  <si>
    <t xml:space="preserve">Gain on asset sales ($mm; = proceeds, zero book value)</t>
  </si>
  <si>
    <t xml:space="preserve">9M FY26: patch pump IP and long-lived assets sold for $10.1m; gain $10.1m (10-Q Note 5 / cash flow statement). Excluded from Credit EBITDA.</t>
  </si>
  <si>
    <t xml:space="preserve">   Gain on asset sales</t>
  </si>
  <si>
    <t xml:space="preserve">D&amp;A % of revenue</t>
  </si>
  <si>
    <t xml:space="preserve">FY25 3.8%; 9M FY26 4.1%, rising with OM PP&amp;E and intangibles.</t>
  </si>
  <si>
    <t xml:space="preserve">   D&amp;A % of revenue</t>
  </si>
  <si>
    <t xml:space="preserve">  of which amortization of intangibles ($mm)</t>
  </si>
  <si>
    <t xml:space="preserve">OM intangibles $41.4m over 12-13 yrs (~$3.3m/yr) + legacy intangibles ($7.0m at FY25). The rest of D&amp;A is depreciation of PP&amp;E.</t>
  </si>
  <si>
    <t xml:space="preserve">     of which amortization of intangibles</t>
  </si>
  <si>
    <t xml:space="preserve">Stock-based compensation % of revenue</t>
  </si>
  <si>
    <t xml:space="preserve">FY25 2.9%; 9M FY26 2.1%. Non-cash, inside SG&amp;A. NOT added back to Credit EBITDA; added back only in the covenant-proxy EBITDA.</t>
  </si>
  <si>
    <t xml:space="preserve">   Stock-based compensation % of revenue</t>
  </si>
  <si>
    <t xml:space="preserve">Capex % of revenue</t>
  </si>
  <si>
    <t xml:space="preserve">FY23 2.4%, FY24 1.4%, FY25 0.9%, 9M FY26 0.3%. Capex is running far below D&amp;A; the model assumes it normalises rather than starving the plants.</t>
  </si>
  <si>
    <t xml:space="preserve">   Capex % of revenue</t>
  </si>
  <si>
    <t xml:space="preserve">Tax rate on pretax income</t>
  </si>
  <si>
    <t xml:space="preserve">FY25 effective 30.0%; 9M FY26 36.4%. Floored at zero tax on a pretax loss (no NOL benefit taken).</t>
  </si>
  <si>
    <t xml:space="preserve">   Tax rate on pretax income</t>
  </si>
  <si>
    <t xml:space="preserve">WORKING CAPITAL</t>
  </si>
  <si>
    <t xml:space="preserve">DSO (days of revenue)</t>
  </si>
  <si>
    <t xml:space="preserve">FY24 62.7, FY25 49.2, Jun-26 ~65 on LTM revenue (incl. OM receivables).</t>
  </si>
  <si>
    <t xml:space="preserve">   DSO</t>
  </si>
  <si>
    <t xml:space="preserve">DIO (days of COGS)</t>
  </si>
  <si>
    <t xml:space="preserve">FY24 161.4, FY25 161.5, Jun-26 ~187 on LTM COGS. Falling volume tends to leave inventory stranded.</t>
  </si>
  <si>
    <t xml:space="preserve">   DIO</t>
  </si>
  <si>
    <t xml:space="preserve">DPO (days of COGS)</t>
  </si>
  <si>
    <t xml:space="preserve">FY24 85.6, FY25 67.1, Jun-26 ~79. FY26 days (65 / 200 / 72) are set near Jun-26 actuals so FY26E FCF (~$115m) lands close to management's ~$100m; the rest of the gap is Q4 coupon and acquisition-cost timing.</t>
  </si>
  <si>
    <t xml:space="preserve">   DPO</t>
  </si>
  <si>
    <t xml:space="preserve">CAPITAL ALLOCATION &amp; FINANCING</t>
  </si>
  <si>
    <t xml:space="preserve">Dividends paid ($mm)</t>
  </si>
  <si>
    <t xml:space="preserve">9M FY26 $18.4m paid; dividend cut $0.15 -&gt; $0.01/qtr. $0.04/yr x ~56.7m shares = $2.3m.</t>
  </si>
  <si>
    <t xml:space="preserve">   Dividends paid</t>
  </si>
  <si>
    <t xml:space="preserve">Share repurchases ($mm)</t>
  </si>
  <si>
    <t xml:space="preserve">2.68m shares for $8.7m in Q3 FY26 under the $100m program. Assume none after: FCF goes to debt.</t>
  </si>
  <si>
    <t xml:space="preserve">   Share repurchases</t>
  </si>
  <si>
    <t xml:space="preserve">Other financing outflows ($mm)</t>
  </si>
  <si>
    <t xml:space="preserve">Tax withholding on share-based comp + finance lease payments. FY25 $7.1m; 9M FY26 $6.1m. Charged to equity.</t>
  </si>
  <si>
    <t xml:space="preserve">   Other financing outflows</t>
  </si>
  <si>
    <t xml:space="preserve">Minimum cash balance ($mm)</t>
  </si>
  <si>
    <t xml:space="preserve">Embecta has run with $215-330m of cash since spin. Cash above this sweeps to the revolver, then the term loan.</t>
  </si>
  <si>
    <t xml:space="preserve">   Minimum cash balance</t>
  </si>
  <si>
    <t xml:space="preserve">% of excess cash swept to debt</t>
  </si>
  <si>
    <t xml:space="preserve">Management: capital allocation primarily focused on debt reduction; &gt;= $150m of debt repaid in FY26.</t>
  </si>
  <si>
    <t xml:space="preserve">   % of excess cash swept to debt</t>
  </si>
  <si>
    <t xml:space="preserve">SOFR (average)</t>
  </si>
  <si>
    <t xml:space="preserve">Implied ~3.6% at Jun-26 from the 6.10% weighted-average rate. Not a credit driver here; held flat across scenarios.</t>
  </si>
  <si>
    <t xml:space="preserve">   SOFR</t>
  </si>
  <si>
    <t xml:space="preserve">Maturities refinanced? (1 = yes, 0 = no)</t>
  </si>
  <si>
    <t xml:space="preserve">Governs the Dec-28 revolver, Mar-29 term loan and Feb-30 notes. Stress = market shut in FY29-FY30: maturities must be repaid from cash.</t>
  </si>
  <si>
    <t xml:space="preserve">   Maturities refinanced?</t>
  </si>
  <si>
    <t xml:space="preserve">Coupon on refinancing debt</t>
  </si>
  <si>
    <t xml:space="preserve">1L debt marked ~81 implies low-double-digit yields today. Base assumes some recovery in pricing by 2029.</t>
  </si>
  <si>
    <t xml:space="preserve">   Coupon on refinancing debt</t>
  </si>
  <si>
    <t xml:space="preserve">Interest income on cash</t>
  </si>
  <si>
    <t xml:space="preserve">On beginning cash. Reported interest expense is shown net of interest income.</t>
  </si>
  <si>
    <t xml:space="preserve">   Interest income on cash</t>
  </si>
  <si>
    <t xml:space="preserve">Amortization of debt issuance costs ($mm)</t>
  </si>
  <si>
    <t xml:space="preserve">Unamortized $18.6m at FY25 (10-K debt note); 9M FY26 amortization $5.2m. Non-cash interest, capped at the remaining balance.</t>
  </si>
  <si>
    <t xml:space="preserve">   Amortization of debt issuance costs</t>
  </si>
  <si>
    <t xml:space="preserve">Max total net leverage covenant (x)</t>
  </si>
  <si>
    <t xml:space="preserve">Q3 FY26 call: 4.75x limit vs ~3.7x LTM. The 6 Aug 2026 amendment added new covenants (levels not read). Covenant EBITDA proxied as Credit EBITDA + SBC.</t>
  </si>
  <si>
    <t xml:space="preserve">   Max total net leverage covenant</t>
  </si>
  <si>
    <t xml:space="preserve">Distressed EV / EBITDA for recovery (x)</t>
  </si>
  <si>
    <t xml:space="preserve">Judgement: a declining medtech consumable franchise. Used only for the recovery check on the Credit tab.</t>
  </si>
  <si>
    <t xml:space="preserve">   Distressed EV / EBITDA for recovery</t>
  </si>
  <si>
    <t xml:space="preserve">FY26 ACQUISITION: Owen Mumford purchase accounting (same in every scenario)</t>
  </si>
  <si>
    <t xml:space="preserve">Cash paid, net of cash acquired ($mm)</t>
  </si>
  <si>
    <t xml:space="preserve">All</t>
  </si>
  <si>
    <t xml:space="preserve">10-Q 30 Jun 26, cash flow statement: Owen Mumford acquisition, net of cash acquired.</t>
  </si>
  <si>
    <t xml:space="preserve">Acquired trade receivables</t>
  </si>
  <si>
    <t xml:space="preserve">10-Q Note 3, assets acquired and liabilities assumed (EDGAR R46).</t>
  </si>
  <si>
    <t xml:space="preserve">Acquired inventories</t>
  </si>
  <si>
    <t xml:space="preserve">10-Q Note 3 (R46).</t>
  </si>
  <si>
    <t xml:space="preserve">Acquired prepaid &amp; other</t>
  </si>
  <si>
    <t xml:space="preserve">Acquired PP&amp;E</t>
  </si>
  <si>
    <t xml:space="preserve">Assumed payables, accruals &amp; salaries</t>
  </si>
  <si>
    <t xml:space="preserve">10-Q Note 3 (R46). Booked to accrued liabilities so AP days are not distorted.</t>
  </si>
  <si>
    <t xml:space="preserve">Assumed deferred tax &amp; other liabilities</t>
  </si>
  <si>
    <t xml:space="preserve">Contingent consideration (non-cash)</t>
  </si>
  <si>
    <t xml:space="preserve">10-Q Note 3: fair value of up to GBP50m Aidaptus milestones.</t>
  </si>
  <si>
    <t xml:space="preserve">Acquired goodwill &amp; intangibles (derived)</t>
  </si>
  <si>
    <t xml:space="preserve">Derived so the allocation ties exactly to cash paid. Filing shows $65.8m ($24.4m goodwill + $41.4m intangibles); $0.1m is rounding.</t>
  </si>
  <si>
    <t xml:space="preserve">INTEREST CONVENTION: interest is calculated on BEGINNING-of-period balances. That removes the circularity (interest -&gt; net income -&gt; cash -&gt; debt -&gt; interest), so iterative calculation stays OFF and every number is auditable.</t>
  </si>
  <si>
    <t xml:space="preserve">Mid-year maturities still accrue a full year of interest on the old debt and none on the new debt in the year of refinancing; the two effects roughly offset.</t>
  </si>
  <si>
    <t xml:space="preserve">Sensitivity overlay applies? (1/0)</t>
  </si>
  <si>
    <t xml:space="preserve">FY26 is three-quarters reported, so the overlay starts in FY27.</t>
  </si>
  <si>
    <t xml:space="preserve">Other income / (expense) ($mm)</t>
  </si>
  <si>
    <t xml:space="preserve">FX and pension items; FY25 +$1.5m, 9M FY26 -$0.4m. Not forecast.</t>
  </si>
  <si>
    <t xml:space="preserve">HISTORICALS: as reported ($mm)</t>
  </si>
  <si>
    <t xml:space="preserve">Typed from 10-K and 10-Q filings (EDGAR). Blue = as reported. Black = subtotal formula. Reported totals are re-entered and tied on Checks.</t>
  </si>
  <si>
    <t xml:space="preserve">INCOME STATEMENT</t>
  </si>
  <si>
    <t xml:space="preserve">FY2023A</t>
  </si>
  <si>
    <t xml:space="preserve">FY2024A</t>
  </si>
  <si>
    <t xml:space="preserve">FY2025A</t>
  </si>
  <si>
    <t xml:space="preserve">9M FY25A</t>
  </si>
  <si>
    <t xml:space="preserve">9M FY26A</t>
  </si>
  <si>
    <t xml:space="preserve">Source (filing, statement)</t>
  </si>
  <si>
    <t xml:space="preserve">Revenue</t>
  </si>
  <si>
    <t xml:space="preserve">Consolidated Statements of Income: FY25 10-K (filed 25 Nov 2025, acc. 0001872789-25-000036) (R3); Q3 FY26 10-Q (filed 7 Aug 2026, acc. 0001872789-26-000033) (R2)</t>
  </si>
  <si>
    <t xml:space="preserve">Cost of products sold</t>
  </si>
  <si>
    <t xml:space="preserve">Same. Includes depreciation (D&amp;A is not broken out of COGS/SG&amp;A).</t>
  </si>
  <si>
    <t xml:space="preserve">Gross profit</t>
  </si>
  <si>
    <t xml:space="preserve">Selling and administrative</t>
  </si>
  <si>
    <t xml:space="preserve">Includes stock-based compensation.</t>
  </si>
  <si>
    <t xml:space="preserve">Research and development</t>
  </si>
  <si>
    <t xml:space="preserve">Patch pump program discontinued Nov 2024.</t>
  </si>
  <si>
    <t xml:space="preserve">Other operating expense (gross of gains)</t>
  </si>
  <si>
    <t xml:space="preserve">FY: separation, cloud amortization, patch pump, severance (10-K Note 5, R53). 9M FY26 = reported $27.8m net + $10.1m gain shown below.</t>
  </si>
  <si>
    <t xml:space="preserve">Impairment expense</t>
  </si>
  <si>
    <t xml:space="preserve">FY23 only on the face of the income statement.</t>
  </si>
  <si>
    <t xml:space="preserve">Gain on sale of assets</t>
  </si>
  <si>
    <t xml:space="preserve">9M FY26: patch pump IP / long-lived assets (10-Q cash flow statement).</t>
  </si>
  <si>
    <t xml:space="preserve">Operating income (EBIT)</t>
  </si>
  <si>
    <t xml:space="preserve">Interest expense, net</t>
  </si>
  <si>
    <t xml:space="preserve">Shown positive. Net of interest income on cash.</t>
  </si>
  <si>
    <t xml:space="preserve">Other income / (expense), net</t>
  </si>
  <si>
    <t xml:space="preserve">Pretax income</t>
  </si>
  <si>
    <t xml:space="preserve">Income tax provision / (benefit)</t>
  </si>
  <si>
    <t xml:space="preserve">FY24 benefit from deferred tax asset recognition.</t>
  </si>
  <si>
    <t xml:space="preserve">Net income</t>
  </si>
  <si>
    <t xml:space="preserve">  Net income as reported (tie)</t>
  </si>
  <si>
    <t xml:space="preserve">Re-entered from the filing; tied on Checks.</t>
  </si>
  <si>
    <t xml:space="preserve">EBITDA BUILD: add-backs and the reasoning</t>
  </si>
  <si>
    <t xml:space="preserve">D&amp;A (cash flow statement)</t>
  </si>
  <si>
    <t xml:space="preserve">Cash flow statements.</t>
  </si>
  <si>
    <t xml:space="preserve">Stock-based compensation</t>
  </si>
  <si>
    <t xml:space="preserve">CREDIT EBITDA = EBIT + D&amp;A + other opex + impairment - gains</t>
  </si>
  <si>
    <t xml:space="preserve">  Credit EBITDA margin</t>
  </si>
  <si>
    <t xml:space="preserve">Covenant-proxy EBITDA = Credit EBITDA + SBC</t>
  </si>
  <si>
    <t xml:space="preserve">Management adjusted EBITDA (as reported)</t>
  </si>
  <si>
    <t xml:space="preserve">Q3 FY26 earnings release (8-K exhibit 99.1) reconciliation; FY25 per FY25 earnings release.</t>
  </si>
  <si>
    <t xml:space="preserve">Add-backs: other operating expense is separation/stand-up, patch pump exit, acquisition and cloud-computing amortization (amortization of capitalised software, D&amp;A-like). I do NOT add back SBC in Credit EBITDA (it is a real cost to owners) and I strip out the $10.1m asset-sale gain. Management additionally adds back SBC and other items, which is why its EBITDA runs ~$30m higher.</t>
  </si>
  <si>
    <t xml:space="preserve">REVENUE DISAGGREGATION</t>
  </si>
  <si>
    <t xml:space="preserve">Source</t>
  </si>
  <si>
    <t xml:space="preserve">United States</t>
  </si>
  <si>
    <t xml:space="preserve">Geographic revenue: FY25 10-K (filed 25 Nov 2025, acc. 0001872789-25-000036) (R56); Q3 FY26 10-Q (filed 7 Aug 2026, acc. 0001872789-26-000033) (R54)</t>
  </si>
  <si>
    <t xml:space="preserve">International (incl. Owen Mumford from 15 May 26)</t>
  </si>
  <si>
    <t xml:space="preserve">Same. 9M FY26 includes $13.8m of Owen Mumford revenue.</t>
  </si>
  <si>
    <t xml:space="preserve">  of which Owen Mumford</t>
  </si>
  <si>
    <t xml:space="preserve">10-Q Note 3 (acquisition).</t>
  </si>
  <si>
    <t xml:space="preserve">Total</t>
  </si>
  <si>
    <t xml:space="preserve">  US growth y/y</t>
  </si>
  <si>
    <t xml:space="preserve">Pen needles</t>
  </si>
  <si>
    <t xml:space="preserve">Product family revenue: FY25 10-K (filed 25 Nov 2025, acc. 0001872789-25-000036) (R57); Q3 FY26 10-Q (filed 7 Aug 2026, acc. 0001872789-26-000033) (R55)</t>
  </si>
  <si>
    <t xml:space="preserve">Syringes</t>
  </si>
  <si>
    <t xml:space="preserve">Safety</t>
  </si>
  <si>
    <t xml:space="preserve">Other</t>
  </si>
  <si>
    <t xml:space="preserve">Contract manufacturing</t>
  </si>
  <si>
    <t xml:space="preserve">Mostly BD, which is insourcing.</t>
  </si>
  <si>
    <t xml:space="preserve">  Pen needle growth y/y</t>
  </si>
  <si>
    <t xml:space="preserve">BALANCE SHEET</t>
  </si>
  <si>
    <t xml:space="preserve">30-Sep-23</t>
  </si>
  <si>
    <t xml:space="preserve">30-Sep-24</t>
  </si>
  <si>
    <t xml:space="preserve">30-Sep-25</t>
  </si>
  <si>
    <t xml:space="preserve">30-Jun-26</t>
  </si>
  <si>
    <t xml:space="preserve">Cash, equivalents &amp; restricted cash</t>
  </si>
  <si>
    <t xml:space="preserve">Balance sheets: FY24 10-K (filed 11 Dec 2024, acc. 0001872789-24-000037) (R5, FY23); FY25 10-K (filed 25 Nov 2025, acc. 0001872789-25-000036) (R5); Q3 FY26 10-Q (filed 7 Aug 2026, acc. 0001872789-26-000033) (R4). Cash + restricted cash, to tie to the cash flow statement.</t>
  </si>
  <si>
    <t xml:space="preserve">Trade receivables, net</t>
  </si>
  <si>
    <t xml:space="preserve">FY23 low: BD still collected on Embecta's behalf under transition agreements.</t>
  </si>
  <si>
    <t xml:space="preserve">Inventories</t>
  </si>
  <si>
    <t xml:space="preserve">Due from BD + prepaid &amp; other</t>
  </si>
  <si>
    <t xml:space="preserve">Amounts due from BD + prepaid expenses and other.</t>
  </si>
  <si>
    <t xml:space="preserve">Total current assets</t>
  </si>
  <si>
    <t xml:space="preserve">PP&amp;E, net</t>
  </si>
  <si>
    <t xml:space="preserve">Goodwill &amp; intangibles</t>
  </si>
  <si>
    <t xml:space="preserve">Jun-26: goodwill $39.9m + intangibles $47.5m.</t>
  </si>
  <si>
    <t xml:space="preserve">Deferred taxes &amp; other assets</t>
  </si>
  <si>
    <t xml:space="preserve">TOTAL ASSETS</t>
  </si>
  <si>
    <t xml:space="preserve">  Total assets as reported (tie)</t>
  </si>
  <si>
    <t xml:space="preserve">Accounts payable</t>
  </si>
  <si>
    <t xml:space="preserve">Accrued, due to BD, salaries, taxes, current leases</t>
  </si>
  <si>
    <t xml:space="preserve">Sum of the other current liability lines ex-debt.</t>
  </si>
  <si>
    <t xml:space="preserve">Revolver drawn</t>
  </si>
  <si>
    <t xml:space="preserve">10-Q debt note (R66).</t>
  </si>
  <si>
    <t xml:space="preserve">Term loan &amp; notes, net of issuance costs</t>
  </si>
  <si>
    <t xml:space="preserve">Current debt + long-term debt, less revolver. FY25: $9.5m + $1,388.7m.</t>
  </si>
  <si>
    <t xml:space="preserve">Deferred taxes, other &amp; non-current lease liabilities</t>
  </si>
  <si>
    <t xml:space="preserve">Total liabilities</t>
  </si>
  <si>
    <t xml:space="preserve">Total equity</t>
  </si>
  <si>
    <t xml:space="preserve">Negative since spin: Embecta paid BD ~$1.13bn of debt proceeds at separation.</t>
  </si>
  <si>
    <t xml:space="preserve">TOTAL LIABILITIES &amp; EQUITY</t>
  </si>
  <si>
    <t xml:space="preserve">CASH FLOW</t>
  </si>
  <si>
    <t xml:space="preserve">D&amp;A</t>
  </si>
  <si>
    <t xml:space="preserve">Other non-cash (SBC, deferred tax, debt cost amort., impairment, gains)</t>
  </si>
  <si>
    <t xml:space="preserve">Cash flow statements: FY25 10-K (filed 25 Nov 2025, acc. 0001872789-25-000036) (R9); Q3 FY26 10-Q (filed 7 Aug 2026, acc. 0001872789-26-000033) (R8). Sum of the reported adjustment lines.</t>
  </si>
  <si>
    <t xml:space="preserve">Change in working capital</t>
  </si>
  <si>
    <t xml:space="preserve">Receivables, inventories, BD balances, prepaid, payables/accruals, taxes payable.</t>
  </si>
  <si>
    <t xml:space="preserve">Other assets &amp; liabilities, net</t>
  </si>
  <si>
    <t xml:space="preserve">Cash from operations</t>
  </si>
  <si>
    <t xml:space="preserve">Capital expenditure</t>
  </si>
  <si>
    <t xml:space="preserve">Shown positive.</t>
  </si>
  <si>
    <t xml:space="preserve">FREE CASH FLOW (after interest)</t>
  </si>
  <si>
    <t xml:space="preserve">Acquisitions, net of cash acquired</t>
  </si>
  <si>
    <t xml:space="preserve">Asset sale proceeds</t>
  </si>
  <si>
    <t xml:space="preserve">Term debt repayment</t>
  </si>
  <si>
    <t xml:space="preserve">Payments on long-term debt.</t>
  </si>
  <si>
    <t xml:space="preserve">Revolver draw / (repayment), net</t>
  </si>
  <si>
    <t xml:space="preserve">9M FY26: $180.0m drawn, $50.1m repaid.</t>
  </si>
  <si>
    <t xml:space="preserve">Dividends</t>
  </si>
  <si>
    <t xml:space="preserve">Share repurchases</t>
  </si>
  <si>
    <t xml:space="preserve">Other financing (tax withholding, finance leases)</t>
  </si>
  <si>
    <t xml:space="preserve">FX effect on cash</t>
  </si>
  <si>
    <t xml:space="preserve">Net change in cash</t>
  </si>
  <si>
    <t xml:space="preserve">Beginning cash (incl. restricted)</t>
  </si>
  <si>
    <t xml:space="preserve">Ending cash</t>
  </si>
  <si>
    <t xml:space="preserve">  Ending cash as reported (tie)</t>
  </si>
  <si>
    <t xml:space="preserve">DEBT SCHEDULE ($mm)</t>
  </si>
  <si>
    <t xml:space="preserve">Tranche terms from the FY25 10-K and Q3 FY26 10-Q debt notes and the 6 Aug 2026 First Amendment (subsequent event). All four instruments are senior secured first lien, pari passu.</t>
  </si>
  <si>
    <t xml:space="preserve">Tranche</t>
  </si>
  <si>
    <t xml:space="preserve">Rate type</t>
  </si>
  <si>
    <t xml:space="preserve">Coupon / spread</t>
  </si>
  <si>
    <t xml:space="preserve">SOFR floor</t>
  </si>
  <si>
    <t xml:space="preserve">Maturity</t>
  </si>
  <si>
    <t xml:space="preserve">Maturity FY</t>
  </si>
  <si>
    <t xml:space="preserve">Commitment</t>
  </si>
  <si>
    <t xml:space="preserve">Term Loan B</t>
  </si>
  <si>
    <t xml:space="preserve">SOFR +</t>
  </si>
  <si>
    <t xml:space="preserve">R71 (10-K) / R66 (10-Q). $950m original, 0.25%/qtr amortization, SOFR+300bp, 0.50% floor (R65).</t>
  </si>
  <si>
    <t xml:space="preserve">5.00% senior secured notes</t>
  </si>
  <si>
    <t xml:space="preserve">Fixed</t>
  </si>
  <si>
    <t xml:space="preserve">Issued 10 Feb 2022, due 15 Feb 2030 (8-K 10 Feb 2022). Non-call to 15 Feb 2027.</t>
  </si>
  <si>
    <t xml:space="preserve">6.75% senior secured notes</t>
  </si>
  <si>
    <t xml:space="preserve">Due 15 Feb 2030 (10-Q debt note; Cbonds RegS listing EMBC 6.75 02/15/30).</t>
  </si>
  <si>
    <t xml:space="preserve">Revolver tranche 1 (non-extended)</t>
  </si>
  <si>
    <t xml:space="preserve">First Amendment 6 Aug 2026 (10-Q Note 21 / Ex. 10.2): $100m stays due 31 Mar 2027, 0.25% fee.</t>
  </si>
  <si>
    <t xml:space="preserve">Revolver tranche 2 (extended)</t>
  </si>
  <si>
    <t xml:space="preserve">Extended to 30 Dec 2028 at SOFR+350bp, 0.375% fee (Ex. 10.2). Total commitments cut from $500m to $310m.</t>
  </si>
  <si>
    <t xml:space="preserve">Revolver drawn (total)</t>
  </si>
  <si>
    <t xml:space="preserve">Drawn $180m to fund Owen Mumford; repaid $50.1m. Tranche split of drawings not disclosed; modelled at the tranche-2 spread.</t>
  </si>
  <si>
    <t xml:space="preserve">TOTAL PRINCIPAL</t>
  </si>
  <si>
    <t xml:space="preserve">  Reported total principal (tie)</t>
  </si>
  <si>
    <t xml:space="preserve">10-K R71: $1,416.8m; 10-Q R66: $1,469.3m.</t>
  </si>
  <si>
    <t xml:space="preserve">Unamortized issuance costs &amp; discounts</t>
  </si>
  <si>
    <t xml:space="preserve">Netted against debt on the balance sheet.</t>
  </si>
  <si>
    <t xml:space="preserve">Revolver commitment at 30-Sep-25 (pre-amendment)</t>
  </si>
  <si>
    <t xml:space="preserve">Original $500m facility, March 2027 maturity (10-K).</t>
  </si>
  <si>
    <t xml:space="preserve">TLB mandatory amortization per year</t>
  </si>
  <si>
    <t xml:space="preserve">0.25% of $950m per quarter = $9.5m a year (R65).</t>
  </si>
  <si>
    <t xml:space="preserve">Level 2 fair value of debt / carrying value</t>
  </si>
  <si>
    <t xml:space="preserve">10-Q R65. ~81.5 cents blended across all tranches: the market-price proxy without Bloomberg.</t>
  </si>
  <si>
    <t xml:space="preserve">ROLL-FORWARD (fiscal years ending 30 Sep)</t>
  </si>
  <si>
    <t xml:space="preserve">Fiscal year</t>
  </si>
  <si>
    <t xml:space="preserve">Revolver capacity</t>
  </si>
  <si>
    <t xml:space="preserve">Revolver commitments at year end</t>
  </si>
  <si>
    <t xml:space="preserve">Tranche 1 gone after Mar-27; tranche 2 after Dec-28 unless refinanced (Drivers refi flag).</t>
  </si>
  <si>
    <t xml:space="preserve">Cash available for debt service</t>
  </si>
  <si>
    <t xml:space="preserve">Cash before debt service (Model)</t>
  </si>
  <si>
    <t xml:space="preserve">Less: TLB mandatory amortization</t>
  </si>
  <si>
    <t xml:space="preserve">Less: maturities NOT refinanced</t>
  </si>
  <si>
    <t xml:space="preserve">Less: forced revolver repayment (commitments shrink)</t>
  </si>
  <si>
    <t xml:space="preserve">Cash available</t>
  </si>
  <si>
    <t xml:space="preserve">Minimum cash</t>
  </si>
  <si>
    <t xml:space="preserve">Excess / (shortfall) vs minimum</t>
  </si>
  <si>
    <t xml:space="preserve">Revolver draw</t>
  </si>
  <si>
    <t xml:space="preserve">Revolver repayment</t>
  </si>
  <si>
    <t xml:space="preserve">Cash swept to term debt</t>
  </si>
  <si>
    <t xml:space="preserve">FUNDING SHORTFALL (cash below minimum after revolver)</t>
  </si>
  <si>
    <t xml:space="preserve">Term Loan B (SOFR + 300, floor 0.50%)</t>
  </si>
  <si>
    <t xml:space="preserve">Beginning balance</t>
  </si>
  <si>
    <t xml:space="preserve">Mandatory amortization</t>
  </si>
  <si>
    <t xml:space="preserve">Repaid at maturity</t>
  </si>
  <si>
    <t xml:space="preserve">Optional prepayment from excess cash</t>
  </si>
  <si>
    <t xml:space="preserve">Ending balance</t>
  </si>
  <si>
    <t xml:space="preserve">5.00% senior secured notes due Feb 2030</t>
  </si>
  <si>
    <t xml:space="preserve">6.75% senior secured notes due Feb 2030</t>
  </si>
  <si>
    <t xml:space="preserve">New 1L refinancing debt (issued only if the market is open)</t>
  </si>
  <si>
    <t xml:space="preserve">Issued to refinance maturities</t>
  </si>
  <si>
    <t xml:space="preserve">Revolver</t>
  </si>
  <si>
    <t xml:space="preserve">Beginning drawn</t>
  </si>
  <si>
    <t xml:space="preserve">Forced repayment (drawn above commitments)</t>
  </si>
  <si>
    <t xml:space="preserve">Ending drawn</t>
  </si>
  <si>
    <t xml:space="preserve">Undrawn commitments</t>
  </si>
  <si>
    <t xml:space="preserve">Totals</t>
  </si>
  <si>
    <t xml:space="preserve">TOTAL PRINCIPAL (ending)</t>
  </si>
  <si>
    <t xml:space="preserve">  of which term debt (TLB + notes + new)</t>
  </si>
  <si>
    <t xml:space="preserve">Unamortized issuance costs, beginning</t>
  </si>
  <si>
    <t xml:space="preserve">  amortization (non-cash interest)</t>
  </si>
  <si>
    <t xml:space="preserve">Unamortized issuance costs, ending</t>
  </si>
  <si>
    <t xml:space="preserve">Net debt paydown in year</t>
  </si>
  <si>
    <t xml:space="preserve">Interest on opening balances (no circular references)</t>
  </si>
  <si>
    <t xml:space="preserve">SOFR</t>
  </si>
  <si>
    <t xml:space="preserve">Term loan interest</t>
  </si>
  <si>
    <t xml:space="preserve">5.00% notes interest</t>
  </si>
  <si>
    <t xml:space="preserve">6.75% notes interest</t>
  </si>
  <si>
    <t xml:space="preserve">Refinancing debt interest</t>
  </si>
  <si>
    <t xml:space="preserve">Revolver interest</t>
  </si>
  <si>
    <t xml:space="preserve">Commitment fee (on beginning undrawn)</t>
  </si>
  <si>
    <t xml:space="preserve">0.375% on the extended tranche (0.25% on tranche 1); the higher rate is used throughout.</t>
  </si>
  <si>
    <t xml:space="preserve">TOTAL CASH INTEREST</t>
  </si>
  <si>
    <t xml:space="preserve">Non-cash: amortization of issuance costs</t>
  </si>
  <si>
    <t xml:space="preserve">Less: interest income on beginning cash</t>
  </si>
  <si>
    <t xml:space="preserve">NET INTEREST EXPENSE (to income statement)</t>
  </si>
  <si>
    <t xml:space="preserve">Weighted average cash rate on beginning debt</t>
  </si>
  <si>
    <t xml:space="preserve">FORECAST MODEL ($mm)</t>
  </si>
  <si>
    <t xml:space="preserve">Black = formula, green = link to another tab. Change behaviour on Drivers. Column B links to the FY2025A historicals.</t>
  </si>
  <si>
    <t xml:space="preserve">REVENUE BUILD</t>
  </si>
  <si>
    <t xml:space="preserve">US revenue</t>
  </si>
  <si>
    <t xml:space="preserve">Prior year x (1 + volume) x (1 + net price) x (1 + share).</t>
  </si>
  <si>
    <t xml:space="preserve">  US growth</t>
  </si>
  <si>
    <t xml:space="preserve">International revenue (ex-Owen Mumford)</t>
  </si>
  <si>
    <t xml:space="preserve">Owen Mumford revenue</t>
  </si>
  <si>
    <t xml:space="preserve">TOTAL REVENUE</t>
  </si>
  <si>
    <t xml:space="preserve">  Revenue growth</t>
  </si>
  <si>
    <t xml:space="preserve">  US share of revenue</t>
  </si>
  <si>
    <t xml:space="preserve">  Gross margin (incl. any overlay)</t>
  </si>
  <si>
    <t xml:space="preserve">Other operating expense (non-recurring) &amp; impairment</t>
  </si>
  <si>
    <t xml:space="preserve">From Debt tab, on beginning balances.</t>
  </si>
  <si>
    <t xml:space="preserve">Other income / (expense)</t>
  </si>
  <si>
    <t xml:space="preserve">Income tax</t>
  </si>
  <si>
    <t xml:space="preserve">NET INCOME</t>
  </si>
  <si>
    <t xml:space="preserve">EBITDA</t>
  </si>
  <si>
    <t xml:space="preserve">  of which amortization of intangibles</t>
  </si>
  <si>
    <t xml:space="preserve">  of which depreciation of PP&amp;E</t>
  </si>
  <si>
    <t xml:space="preserve">CREDIT EBITDA</t>
  </si>
  <si>
    <t xml:space="preserve">EBIT + D&amp;A + non-recurring other opex - asset-sale gains. No SBC add-back.</t>
  </si>
  <si>
    <t xml:space="preserve">Stock-based compensation (inside SG&amp;A)</t>
  </si>
  <si>
    <t xml:space="preserve">Covenant-proxy EBITDA (Credit EBITDA + SBC)</t>
  </si>
  <si>
    <t xml:space="preserve">Cash &amp; restricted cash</t>
  </si>
  <si>
    <t xml:space="preserve">Trade receivables</t>
  </si>
  <si>
    <t xml:space="preserve">Prepaid &amp; other current assets</t>
  </si>
  <si>
    <t xml:space="preserve">Held flat.</t>
  </si>
  <si>
    <t xml:space="preserve">Accrued &amp; other current liabilities</t>
  </si>
  <si>
    <t xml:space="preserve">Held flat apart from balances acquired with Owen Mumford.</t>
  </si>
  <si>
    <t xml:space="preserve">Term loan, notes &amp; refinancing debt, net of issuance costs</t>
  </si>
  <si>
    <t xml:space="preserve">Deferred taxes, other &amp; lease liabilities</t>
  </si>
  <si>
    <t xml:space="preserve">Prior + net income + SBC - dividends - buybacks - withholding/lease payments.</t>
  </si>
  <si>
    <t xml:space="preserve">Amortization of debt issuance costs</t>
  </si>
  <si>
    <t xml:space="preserve">(Increase) in receivables, ex-acquired</t>
  </si>
  <si>
    <t xml:space="preserve">(Increase) in inventories, ex-acquired</t>
  </si>
  <si>
    <t xml:space="preserve">Increase in payables</t>
  </si>
  <si>
    <t xml:space="preserve">FREE CASH FLOW (after interest and tax)</t>
  </si>
  <si>
    <t xml:space="preserve">Other financing (withholding, leases)</t>
  </si>
  <si>
    <t xml:space="preserve">Memo: cash before debt service</t>
  </si>
  <si>
    <t xml:space="preserve">Beginning cash + FCF + investing + equity flows. Feeds the Debt tab waterfall.</t>
  </si>
  <si>
    <t xml:space="preserve">TLB mandatory amortization</t>
  </si>
  <si>
    <t xml:space="preserve">Debt repaid at maturity</t>
  </si>
  <si>
    <t xml:space="preserve">Refinancing debt issued</t>
  </si>
  <si>
    <t xml:space="preserve">Optional prepayments (cash sweep)</t>
  </si>
  <si>
    <t xml:space="preserve">NET CHANGE IN CASH</t>
  </si>
  <si>
    <t xml:space="preserve">Beginning cash</t>
  </si>
  <si>
    <t xml:space="preserve">ENDING CASH</t>
  </si>
  <si>
    <t xml:space="preserve">Sign convention: costs, capex and debt service are POSITIVE on the income statement and debt schedule; on the cash flow statement outflows are negative.</t>
  </si>
  <si>
    <t xml:space="preserve">CREDIT METRICS ($mm)</t>
  </si>
  <si>
    <t xml:space="preserve">Columns line up with Model and Debt (C = FY2026E). H = last twelve months to 30 Jun 2026, from Historicals and the 10-Q.</t>
  </si>
  <si>
    <t xml:space="preserve">Metric</t>
  </si>
  <si>
    <t xml:space="preserve">Inputs</t>
  </si>
  <si>
    <t xml:space="preserve">Credit EBITDA</t>
  </si>
  <si>
    <t xml:space="preserve">Covenant-proxy EBITDA (+SBC)</t>
  </si>
  <si>
    <t xml:space="preserve">Total debt (principal, all 1L secured, incl. unpaid maturities)</t>
  </si>
  <si>
    <t xml:space="preserve">If a maturity cannot be refinanced or repaid, model cash goes negative; that hole is unpaid debt, so it is added back here.</t>
  </si>
  <si>
    <t xml:space="preserve">Cash &amp; restricted cash (floored at zero)</t>
  </si>
  <si>
    <t xml:space="preserve">Net debt</t>
  </si>
  <si>
    <t xml:space="preserve">Cash interest (FY25A / LTM: reported net interest)</t>
  </si>
  <si>
    <t xml:space="preserve">Capex</t>
  </si>
  <si>
    <t xml:space="preserve">Free cash flow (after interest)</t>
  </si>
  <si>
    <t xml:space="preserve">Undrawn revolver commitments</t>
  </si>
  <si>
    <t xml:space="preserve">LTM column uses post-amendment $310m commitments.</t>
  </si>
  <si>
    <t xml:space="preserve">Leverage</t>
  </si>
  <si>
    <t xml:space="preserve">Gross leverage (Debt / Credit EBITDA)</t>
  </si>
  <si>
    <t xml:space="preserve">Net leverage (Net debt / Credit EBITDA)</t>
  </si>
  <si>
    <t xml:space="preserve">Secured net leverage (all debt is 1L)</t>
  </si>
  <si>
    <t xml:space="preserve">No unsecured layer: nothing sits beneath the 1L, so secured and total leverage are the same.</t>
  </si>
  <si>
    <t xml:space="preserve">Covenant-proxy net leverage (Net debt / EBITDA + SBC)</t>
  </si>
  <si>
    <t xml:space="preserve">Management cited ~3.7x LTM at Q3 FY26 on its own EBITDA (~$337m).</t>
  </si>
  <si>
    <t xml:space="preserve">Covenant maximum</t>
  </si>
  <si>
    <t xml:space="preserve">EBITDA cushion before covenant breach</t>
  </si>
  <si>
    <t xml:space="preserve">How far covenant EBITDA can fall from the forecast before net leverage hits the limit.</t>
  </si>
  <si>
    <t xml:space="preserve">Covenant EBITDA at which the covenant breaches</t>
  </si>
  <si>
    <t xml:space="preserve">Coverage &amp; cash generation</t>
  </si>
  <si>
    <t xml:space="preserve">Interest coverage (Credit EBITDA / cash interest)</t>
  </si>
  <si>
    <t xml:space="preserve">(EBITDA - capex) / cash interest</t>
  </si>
  <si>
    <t xml:space="preserve">FCF / total debt</t>
  </si>
  <si>
    <t xml:space="preserve">Cumulative net debt paydown since FY25</t>
  </si>
  <si>
    <t xml:space="preserve">Liquidity &amp; maturities</t>
  </si>
  <si>
    <t xml:space="preserve">Liquidity (cash + undrawn revolver)</t>
  </si>
  <si>
    <t xml:space="preserve">Principal maturing in the year (incl. amortization)</t>
  </si>
  <si>
    <t xml:space="preserve">Principal maturing in the NEXT 24 months</t>
  </si>
  <si>
    <t xml:space="preserve">FY29 column shows FY30 only; FY30 has no forecast year after it.</t>
  </si>
  <si>
    <t xml:space="preserve">Liquidity / next-24-month maturities</t>
  </si>
  <si>
    <t xml:space="preserve">Funding shortfall (Debt tab)</t>
  </si>
  <si>
    <t xml:space="preserve">Recovery (all 1L pari passu)</t>
  </si>
  <si>
    <t xml:space="preserve">Distressed enterprise value (Credit EBITDA x multiple)</t>
  </si>
  <si>
    <t xml:space="preserve">1L recovery if default in this year (EV / net debt)</t>
  </si>
  <si>
    <t xml:space="preserve">All debt is pari passu first lien, so every tranche recovers the same cents on the dollar.</t>
  </si>
  <si>
    <t xml:space="preserve">Status</t>
  </si>
  <si>
    <t xml:space="preserve">SUMMARY for the active scenario (feeds the Scenarios snapshot and the Cover)</t>
  </si>
  <si>
    <t xml:space="preserve">Instrument: 5.00% senior secured notes due 15 Feb 2030</t>
  </si>
  <si>
    <t xml:space="preserve">Price (cents), proxy</t>
  </si>
  <si>
    <t xml:space="preserve">Proxy: blended Level 2 fair value / carrying at 30 Jun 26 = 81.5 (10-Q). Cbonds shows the 6.75% 2030s at G+~930bp (~13% yield), which would put the 5s nearer 78. Replace with the TRACE print.</t>
  </si>
  <si>
    <t xml:space="preserve">Settlement date</t>
  </si>
  <si>
    <t xml:space="preserve">Coupon</t>
  </si>
  <si>
    <t xml:space="preserve">Yield to maturity (semi-annual)</t>
  </si>
  <si>
    <t xml:space="preserve">Current yield</t>
  </si>
  <si>
    <t xml:space="preserve">Recovery at trough vs price</t>
  </si>
  <si>
    <t xml:space="preserve">Points of cushion (+) or loss (-) if the issuer defaulted at the trough and the 1L recovered at the distressed multiple.</t>
  </si>
  <si>
    <t xml:space="preserve">Maturity wall: principal due by fiscal year ($mm)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</si>
  <si>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</si>
  <si>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</si>
  <si>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</si>
  <si>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</si>
  <si>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</si>
  <si>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As reported at 30 Jun 26 (10-Q)</t>
  </si>
  <si>
    <t xml:space="preserve">10-Q R67. FY26 = remaining Q4. FY27 includes the full $129.9m revolver (pre-amendment basis).</t>
  </si>
  <si>
    <t xml:space="preserve">Active scenario (model)</t>
  </si>
  <si>
    <t xml:space="preserve">Thresholds that matter: interest coverage below 2.0x; covenant-proxy net leverage above 4.75x; and whether the Mar-29 term loan and Feb-30 notes can be refinanced from a FY28 balance sheet.</t>
  </si>
  <si>
    <t xml:space="preserve">CHECKS: every status should read OK</t>
  </si>
  <si>
    <t xml:space="preserve">Check</t>
  </si>
  <si>
    <t xml:space="preserve">What it proves</t>
  </si>
  <si>
    <t xml:space="preserve">Balance sheet balances (assets - liabilities - equity)</t>
  </si>
  <si>
    <t xml:space="preserve">No plug anywhere: the statements are linked.</t>
  </si>
  <si>
    <t xml:space="preserve">   status</t>
  </si>
  <si>
    <t xml:space="preserve">Cash flow ending cash = balance sheet cash</t>
  </si>
  <si>
    <t xml:space="preserve">Debt tab (principal - unamortized costs) = balance sheet debt</t>
  </si>
  <si>
    <t xml:space="preserve">Debt waterfall ending cash = Model ending cash</t>
  </si>
  <si>
    <t xml:space="preserve">The sweep logic on Debt and the cash flow statement agree.</t>
  </si>
  <si>
    <t xml:space="preserve">Revolver within commitments (drawn - commitments, if positive)</t>
  </si>
  <si>
    <t xml:space="preserve">Revenue build = income statement revenue</t>
  </si>
  <si>
    <t xml:space="preserve">Opening debt principal ties to 10-K ($1,416.8m)</t>
  </si>
  <si>
    <t xml:space="preserve">Jun-26 debt principal ties to 10-Q ($1,469.3m)</t>
  </si>
  <si>
    <t xml:space="preserve">Historical ties to the filings</t>
  </si>
  <si>
    <t xml:space="preserve">Net income: built from lines vs reported</t>
  </si>
  <si>
    <t xml:space="preserve">Every income statement line is typed correctly.</t>
  </si>
  <si>
    <t xml:space="preserve">Total assets: built vs reported</t>
  </si>
  <si>
    <t xml:space="preserve">Historical balance sheet balances</t>
  </si>
  <si>
    <t xml:space="preserve">Ending cash: built from cash flow vs reported</t>
  </si>
  <si>
    <t xml:space="preserve">Every cash flow line is typed correctly.</t>
  </si>
  <si>
    <t xml:space="preserve">Geographic revenue = total revenue</t>
  </si>
  <si>
    <t xml:space="preserve">Product revenue = total revenue</t>
  </si>
  <si>
    <t xml:space="preserve">Sanity checks (flag, not fail)</t>
  </si>
  <si>
    <t xml:space="preserve">FY26E revenue inside guidance ($1,015-1,035m)</t>
  </si>
  <si>
    <t xml:space="preserve">Q3 FY26 earnings release guidance. $5m tolerance below the low end for Stress.</t>
  </si>
  <si>
    <t xml:space="preserve">Cash never negative (otherwise the scenario is a default)</t>
  </si>
  <si>
    <t xml:space="preserve">Circularity</t>
  </si>
  <si>
    <t xml:space="preserve">OK</t>
  </si>
  <si>
    <t xml:space="preserve">Interest uses beginning balances; iterative calculation is OFF. No cell references its own result.</t>
  </si>
  <si>
    <t xml:space="preserve">MODEL INTEGRITY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</si>
</sst>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dd\-mmm\-yyyy"/>
    <numFmt numFmtId="166" formatCode="#,##0.0;\(#,##0.0\);\-"/>
    <numFmt numFmtId="167" formatCode="0.00\x;\(0.00&quot;x)&quot;;\-"/>
    <numFmt numFmtId="168" formatCode="0.0%;\(0.0%\);\-"/>
    <numFmt numFmtId="169" formatCode="0.00%"/>
    <numFmt numFmtId="170" formatCode="0.0"/>
    <numFmt numFmtId="171" formatCode="0.0%"/>
    <numFmt numFmtId="172" formatCode="0"/>
    <numFmt numFmtId="173" formatCode="0.00\x"/>
    <numFmt numFmtId="174" formatCode="0.0\x"/>
    <numFmt numFmtId="175" formatCode="mmm\-yyyy"/>
    <numFmt numFmtId="176" formatCode="0.000%"/>
    <numFmt numFmtId="177" formatCode="0.0;\(0.0\)"/>
    <numFmt numFmtId="178" formatCode="#,##0.00;\(#,##0.0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Maturity wall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Credit!A67</c:f>
              <c:strCache>
                <c:ptCount val="1"/>
                <c:pt idx="0">
                  <c:v>As reported at 30 Jun 26 (10-Q)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Credit!$C$66:$G$66</c:f>
              <c:strCache>
                <c:ptCount val="5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</c:strCache>
            </c:strRef>
          </c:cat>
          <c:val>
            <c:numRef>
              <c:f>Credit!$C$67:$G$67</c:f>
              <c:numCache>
                <c:formatCode>#,##0.0;\(#,##0.0\);\-</c:formatCode>
                <c:ptCount val="5"/>
                <c:pt idx="0">
                  <c:v>2.4</c:v>
                </c:pt>
                <c:pt idx="1">
                  <c:v>139.4</c:v>
                </c:pt>
                <c:pt idx="2">
                  <c:v>9.5</c:v>
                </c:pt>
                <c:pt idx="3">
                  <c:v>618</c:v>
                </c:pt>
                <c:pt idx="4">
                  <c:v>700</c:v>
                </c:pt>
              </c:numCache>
            </c:numRef>
          </c:val>
        </c:ser>
        <c:ser>
          <c:idx val="1"/>
          <c:order val="1"/>
          <c:tx>
            <c:strRef>
              <c:f>Credit!A68</c:f>
              <c:strCache>
                <c:ptCount val="1"/>
                <c:pt idx="0">
                  <c:v>Active scenario (model)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Credit!$C$66:$G$66</c:f>
              <c:strCache>
                <c:ptCount val="5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</c:strCache>
            </c:strRef>
          </c:cat>
          <c:val>
            <c:numRef>
              <c:f>Credit!$C$68:$G$68</c:f>
              <c:numCache>
                <c:formatCode>#,##0.0;\(#,##0.0\);\-</c:formatCode>
                <c:ptCount val="5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420.742170849022</c:v>
                </c:pt>
                <c:pt idx="4">
                  <c:v>700</c:v>
                </c:pt>
              </c:numCache>
            </c:numRef>
          </c:val>
        </c:ser>
        <c:gapWidth val="150"/>
        <c:overlap val="0"/>
        <c:axId val="12979173"/>
        <c:axId val="88556320"/>
      </c:barChart>
      <c:catAx>
        <c:axId val="129791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56320"/>
        <c:crosses val="autoZero"/>
        <c:auto val="1"/>
        <c:lblAlgn val="ctr"/>
        <c:lblOffset val="100"/>
        <c:noMultiLvlLbl val="0"/>
      </c:catAx>
      <c:valAx>
        <c:axId val="88556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791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68</xdr:row>
      <xdr:rowOff>160920</xdr:rowOff>
    </xdr:from>
    <xdr:to>
      <xdr:col>3</xdr:col>
      <xdr:colOff>402840</xdr:colOff>
      <xdr:row>83</xdr:row>
      <xdr:rowOff>2880</xdr:rowOff>
    </xdr:to>
    <xdr:graphicFrame>
      <xdr:nvGraphicFramePr>
        <xdr:cNvPr id="0" name="Chart 1"/>
        <xdr:cNvGraphicFramePr/>
      </xdr:nvGraphicFramePr>
      <xdr:xfrm>
        <a:off x="0" y="13144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5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5" t="n">
        <v>46318</v>
      </c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 t="s">
        <v>15</v>
      </c>
      <c r="B11" s="4" t="s">
        <v>16</v>
      </c>
    </row>
    <row r="12" customFormat="false" ht="15" hidden="false" customHeight="false" outlineLevel="0" collapsed="false">
      <c r="A12" s="3" t="s">
        <v>17</v>
      </c>
      <c r="B12" s="4" t="s">
        <v>18</v>
      </c>
    </row>
    <row r="13" customFormat="false" ht="15" hidden="false" customHeight="false" outlineLevel="0" collapsed="false">
      <c r="A13" s="3" t="s">
        <v>19</v>
      </c>
      <c r="B13" s="4" t="s">
        <v>20</v>
      </c>
    </row>
    <row r="15" customFormat="false" ht="15" hidden="false" customHeight="false" outlineLevel="0" collapsed="false">
      <c r="A15" s="6" t="s">
        <v>21</v>
      </c>
      <c r="B15" s="7" t="s">
        <v>22</v>
      </c>
      <c r="C15" s="7" t="s">
        <v>23</v>
      </c>
      <c r="D15" s="7" t="s">
        <v>24</v>
      </c>
      <c r="E15" s="7" t="s">
        <v>25</v>
      </c>
      <c r="F15" s="7" t="s">
        <v>26</v>
      </c>
    </row>
    <row r="16" customFormat="false" ht="15" hidden="false" customHeight="false" outlineLevel="0" collapsed="false">
      <c r="A16" s="8" t="s">
        <v>27</v>
      </c>
      <c r="B16" s="9" t="n">
        <f aca="false">Credit!H6</f>
        <v>306</v>
      </c>
      <c r="C16" s="9" t="n">
        <f aca="false">Scenarios!B15</f>
        <v>279.002534175109</v>
      </c>
      <c r="D16" s="9" t="n">
        <f aca="false">Scenarios!C15</f>
        <v>178.531063646207</v>
      </c>
      <c r="E16" s="9" t="n">
        <f aca="false">Scenarios!D15</f>
        <v>114.732689833767</v>
      </c>
      <c r="F16" s="2"/>
    </row>
    <row r="17" customFormat="false" ht="15" hidden="false" customHeight="false" outlineLevel="0" collapsed="false">
      <c r="A17" s="8" t="s">
        <v>28</v>
      </c>
      <c r="B17" s="10" t="n">
        <f aca="false">Credit!H17</f>
        <v>4.08856209150327</v>
      </c>
      <c r="C17" s="10" t="n">
        <f aca="false">Scenarios!B18</f>
        <v>4.13131587733763</v>
      </c>
      <c r="D17" s="10" t="n">
        <f aca="false">Scenarios!C18</f>
        <v>4.80421813035063</v>
      </c>
      <c r="E17" s="10" t="n">
        <f aca="false">Scenarios!D18</f>
        <v>8.53172237291576</v>
      </c>
      <c r="F17" s="2" t="s">
        <v>29</v>
      </c>
    </row>
    <row r="18" customFormat="false" ht="15" hidden="false" customHeight="false" outlineLevel="0" collapsed="false">
      <c r="A18" s="8" t="s">
        <v>30</v>
      </c>
      <c r="C18" s="10" t="n">
        <f aca="false">Scenarios!B17</f>
        <v>3.23821910024678</v>
      </c>
      <c r="D18" s="10" t="n">
        <f aca="false">Scenarios!C17</f>
        <v>4.80421813035063</v>
      </c>
      <c r="E18" s="10" t="n">
        <f aca="false">Scenarios!D17</f>
        <v>6.83217091819957</v>
      </c>
      <c r="F18" s="2" t="s">
        <v>31</v>
      </c>
    </row>
    <row r="19" customFormat="false" ht="15" hidden="false" customHeight="false" outlineLevel="0" collapsed="false">
      <c r="A19" s="8" t="s">
        <v>32</v>
      </c>
      <c r="B19" s="10" t="n">
        <f aca="false">Credit!H19</f>
        <v>3.77633564744944</v>
      </c>
      <c r="C19" s="10" t="n">
        <f aca="false">Scenarios!B19</f>
        <v>3.86563639969534</v>
      </c>
      <c r="D19" s="10" t="n">
        <f aca="false">Scenarios!C19</f>
        <v>4.41203705848527</v>
      </c>
      <c r="E19" s="10" t="n">
        <f aca="false">Scenarios!D19</f>
        <v>7.52799032904332</v>
      </c>
      <c r="F19" s="2" t="s">
        <v>33</v>
      </c>
    </row>
    <row r="20" customFormat="false" ht="15" hidden="false" customHeight="false" outlineLevel="0" collapsed="false">
      <c r="A20" s="8" t="s">
        <v>34</v>
      </c>
      <c r="B20" s="10" t="n">
        <f aca="false">Credit!H24</f>
        <v>3.16442605997932</v>
      </c>
      <c r="C20" s="10" t="n">
        <f aca="false">Scenarios!B20</f>
        <v>3.29230905710152</v>
      </c>
      <c r="D20" s="10" t="n">
        <f aca="false">Scenarios!C20</f>
        <v>2.09912198697596</v>
      </c>
      <c r="E20" s="10" t="n">
        <f aca="false">Scenarios!D20</f>
        <v>1.74784886345391</v>
      </c>
      <c r="F20" s="2" t="s">
        <v>35</v>
      </c>
    </row>
    <row r="21" customFormat="false" ht="15" hidden="false" customHeight="false" outlineLevel="0" collapsed="false">
      <c r="A21" s="8" t="s">
        <v>36</v>
      </c>
      <c r="C21" s="9" t="n">
        <f aca="false">Scenarios!B22</f>
        <v>773.562149723791</v>
      </c>
      <c r="D21" s="9" t="n">
        <f aca="false">Scenarios!C22</f>
        <v>531.896038318457</v>
      </c>
      <c r="E21" s="9" t="n">
        <f aca="false">Scenarios!D22</f>
        <v>387.332543240446</v>
      </c>
      <c r="F21" s="2"/>
    </row>
    <row r="22" customFormat="false" ht="15" hidden="false" customHeight="false" outlineLevel="0" collapsed="false">
      <c r="A22" s="8" t="s">
        <v>37</v>
      </c>
      <c r="B22" s="9" t="n">
        <f aca="false">Credit!H8</f>
        <v>1469.3</v>
      </c>
      <c r="C22" s="9" t="n">
        <f aca="false">Scenarios!B23</f>
        <v>801.837850276209</v>
      </c>
      <c r="D22" s="9" t="n">
        <f aca="false">Scenarios!C23</f>
        <v>1043.50396168154</v>
      </c>
      <c r="E22" s="9" t="n">
        <f aca="false">Scenarios!D23</f>
        <v>978.867456759554</v>
      </c>
      <c r="F22" s="2" t="s">
        <v>38</v>
      </c>
    </row>
    <row r="23" customFormat="false" ht="15" hidden="false" customHeight="false" outlineLevel="0" collapsed="false">
      <c r="A23" s="8" t="s">
        <v>39</v>
      </c>
      <c r="C23" s="9" t="n">
        <f aca="false">Scenarios!B25</f>
        <v>0</v>
      </c>
      <c r="D23" s="9" t="n">
        <f aca="false">Scenarios!C25</f>
        <v>0</v>
      </c>
      <c r="E23" s="9" t="n">
        <f aca="false">Scenarios!D25</f>
        <v>1178.86745675955</v>
      </c>
      <c r="F23" s="2" t="s">
        <v>40</v>
      </c>
    </row>
    <row r="24" customFormat="false" ht="15" hidden="false" customHeight="false" outlineLevel="0" collapsed="false">
      <c r="A24" s="8" t="s">
        <v>41</v>
      </c>
      <c r="C24" s="11" t="n">
        <f aca="false">Scenarios!B26</f>
        <v>1</v>
      </c>
      <c r="D24" s="11" t="n">
        <f aca="false">Scenarios!C26</f>
        <v>1</v>
      </c>
      <c r="E24" s="11" t="n">
        <f aca="false">Scenarios!D26</f>
        <v>0.586048136759896</v>
      </c>
      <c r="F24" s="2" t="s">
        <v>42</v>
      </c>
    </row>
    <row r="26" customFormat="false" ht="15" hidden="false" customHeight="false" outlineLevel="0" collapsed="false">
      <c r="A26" s="3" t="s">
        <v>43</v>
      </c>
      <c r="B26" s="12" t="n">
        <f aca="false">Credit!B61</f>
        <v>0.121312811555587</v>
      </c>
      <c r="C26" s="13" t="n">
        <f aca="false">Credit!B57</f>
        <v>81</v>
      </c>
      <c r="D26" s="2" t="s">
        <v>44</v>
      </c>
    </row>
    <row r="27" customFormat="false" ht="15" hidden="false" customHeight="false" outlineLevel="0" collapsed="false">
      <c r="A27" s="3" t="s">
        <v>45</v>
      </c>
      <c r="B27" s="14" t="str">
        <f aca="false">Checks!B42</f>
        <v>ALL CHECKS OK</v>
      </c>
    </row>
    <row r="28" customFormat="false" ht="15" hidden="false" customHeight="false" outlineLevel="0" collapsed="false">
      <c r="A28" s="3" t="s">
        <v>46</v>
      </c>
      <c r="B28" s="14" t="str">
        <f aca="false">Scenarios!B4</f>
        <v>Base</v>
      </c>
    </row>
    <row r="30" customFormat="false" ht="15" hidden="false" customHeight="false" outlineLevel="0" collapsed="false">
      <c r="A30" s="3" t="s">
        <v>47</v>
      </c>
    </row>
    <row r="31" customFormat="false" ht="15" hidden="false" customHeight="false" outlineLevel="0" collapsed="false">
      <c r="A31" s="3" t="s">
        <v>48</v>
      </c>
      <c r="B31" s="15" t="s">
        <v>49</v>
      </c>
    </row>
    <row r="32" customFormat="false" ht="15" hidden="false" customHeight="false" outlineLevel="0" collapsed="false">
      <c r="A32" s="3" t="s">
        <v>50</v>
      </c>
      <c r="B32" s="15" t="s">
        <v>51</v>
      </c>
    </row>
    <row r="33" customFormat="false" ht="15" hidden="false" customHeight="false" outlineLevel="0" collapsed="false">
      <c r="A33" s="3" t="s">
        <v>52</v>
      </c>
      <c r="B33" s="15" t="s">
        <v>53</v>
      </c>
    </row>
    <row r="34" customFormat="false" ht="15" hidden="false" customHeight="false" outlineLevel="0" collapsed="false">
      <c r="A34" s="3" t="s">
        <v>54</v>
      </c>
      <c r="B34" s="15" t="s">
        <v>55</v>
      </c>
    </row>
    <row r="35" customFormat="false" ht="15" hidden="false" customHeight="false" outlineLevel="0" collapsed="false">
      <c r="A35" s="3" t="s">
        <v>56</v>
      </c>
      <c r="B35" s="15" t="s">
        <v>57</v>
      </c>
    </row>
    <row r="36" customFormat="false" ht="15" hidden="false" customHeight="false" outlineLevel="0" collapsed="false">
      <c r="A36" s="3" t="s">
        <v>58</v>
      </c>
      <c r="B36" s="15" t="s">
        <v>59</v>
      </c>
    </row>
    <row r="37" customFormat="false" ht="15" hidden="false" customHeight="false" outlineLevel="0" collapsed="false">
      <c r="A37" s="3" t="s">
        <v>60</v>
      </c>
      <c r="B37" s="15" t="s">
        <v>61</v>
      </c>
    </row>
    <row r="38" customFormat="false" ht="15" hidden="false" customHeight="false" outlineLevel="0" collapsed="false">
      <c r="A38" s="3" t="s">
        <v>62</v>
      </c>
      <c r="B38" s="15" t="s">
        <v>63</v>
      </c>
    </row>
    <row r="39" customFormat="false" ht="15" hidden="false" customHeight="false" outlineLevel="0" collapsed="false">
      <c r="A39" s="3" t="s">
        <v>64</v>
      </c>
      <c r="B39" s="15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4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66</v>
      </c>
    </row>
    <row r="3" customFormat="false" ht="15" hidden="false" customHeight="false" outlineLevel="0" collapsed="false">
      <c r="A3" s="3" t="s">
        <v>67</v>
      </c>
      <c r="B3" s="16" t="n">
        <v>1</v>
      </c>
    </row>
    <row r="4" customFormat="false" ht="15" hidden="false" customHeight="false" outlineLevel="0" collapsed="false">
      <c r="A4" s="8" t="s">
        <v>68</v>
      </c>
      <c r="B4" s="3" t="str">
        <f aca="false">CHOOSE(B3,"Base","Downside","Stress")</f>
        <v>Base</v>
      </c>
    </row>
    <row r="6" customFormat="false" ht="15" hidden="false" customHeight="false" outlineLevel="0" collapsed="false">
      <c r="A6" s="8" t="s">
        <v>69</v>
      </c>
      <c r="B6" s="2" t="s">
        <v>70</v>
      </c>
    </row>
    <row r="7" customFormat="false" ht="15" hidden="false" customHeight="false" outlineLevel="0" collapsed="false">
      <c r="A7" s="8" t="s">
        <v>71</v>
      </c>
      <c r="B7" s="2" t="s">
        <v>72</v>
      </c>
    </row>
    <row r="8" customFormat="false" ht="15" hidden="false" customHeight="false" outlineLevel="0" collapsed="false">
      <c r="A8" s="8" t="s">
        <v>73</v>
      </c>
      <c r="B8" s="2" t="s">
        <v>74</v>
      </c>
    </row>
    <row r="10" customFormat="false" ht="15" hidden="false" customHeight="false" outlineLevel="0" collapsed="false">
      <c r="A10" s="2" t="s">
        <v>75</v>
      </c>
    </row>
    <row r="12" customFormat="false" ht="15" hidden="false" customHeight="false" outlineLevel="0" collapsed="false">
      <c r="A12" s="6" t="s">
        <v>76</v>
      </c>
      <c r="B12" s="7" t="s">
        <v>23</v>
      </c>
      <c r="C12" s="7" t="s">
        <v>24</v>
      </c>
      <c r="D12" s="7" t="s">
        <v>25</v>
      </c>
      <c r="E12" s="7"/>
      <c r="F12" s="7"/>
      <c r="G12" s="7"/>
      <c r="H12" s="7" t="s">
        <v>77</v>
      </c>
    </row>
    <row r="13" customFormat="false" ht="15" hidden="false" customHeight="false" outlineLevel="0" collapsed="false">
      <c r="A13" s="8" t="s">
        <v>78</v>
      </c>
      <c r="B13" s="17" t="n">
        <v>1042.33087911891</v>
      </c>
      <c r="C13" s="17" t="n">
        <v>986.951995034568</v>
      </c>
      <c r="D13" s="17" t="n">
        <v>944.7234090992</v>
      </c>
      <c r="H13" s="9" t="n">
        <f aca="false">Credit!B40</f>
        <v>1042.33087911891</v>
      </c>
    </row>
    <row r="14" customFormat="false" ht="15" hidden="false" customHeight="false" outlineLevel="0" collapsed="false">
      <c r="A14" s="8" t="s">
        <v>79</v>
      </c>
      <c r="B14" s="17" t="n">
        <v>1033.34271916707</v>
      </c>
      <c r="C14" s="17" t="n">
        <v>870.883237298569</v>
      </c>
      <c r="D14" s="17" t="n">
        <v>764.88459889178</v>
      </c>
      <c r="H14" s="9" t="n">
        <f aca="false">Credit!B41</f>
        <v>1033.34271916707</v>
      </c>
    </row>
    <row r="15" customFormat="false" ht="15" hidden="false" customHeight="false" outlineLevel="0" collapsed="false">
      <c r="A15" s="8" t="s">
        <v>80</v>
      </c>
      <c r="B15" s="17" t="n">
        <v>279.002534175109</v>
      </c>
      <c r="C15" s="17" t="n">
        <v>178.531063646207</v>
      </c>
      <c r="D15" s="17" t="n">
        <v>114.732689833767</v>
      </c>
      <c r="H15" s="9" t="n">
        <f aca="false">Credit!B42</f>
        <v>279.002534175109</v>
      </c>
    </row>
    <row r="16" customFormat="false" ht="15" hidden="false" customHeight="false" outlineLevel="0" collapsed="false">
      <c r="A16" s="8" t="s">
        <v>81</v>
      </c>
      <c r="B16" s="17" t="n">
        <v>279.002534175109</v>
      </c>
      <c r="C16" s="17" t="n">
        <v>178.531063646207</v>
      </c>
      <c r="D16" s="17" t="n">
        <v>114.732689833767</v>
      </c>
      <c r="H16" s="9" t="n">
        <f aca="false">Credit!B43</f>
        <v>279.002534175109</v>
      </c>
    </row>
    <row r="17" customFormat="false" ht="15" hidden="false" customHeight="false" outlineLevel="0" collapsed="false">
      <c r="A17" s="8" t="s">
        <v>82</v>
      </c>
      <c r="B17" s="18" t="n">
        <v>3.23821910024678</v>
      </c>
      <c r="C17" s="18" t="n">
        <v>4.80421813035063</v>
      </c>
      <c r="D17" s="18" t="n">
        <v>6.83217091819957</v>
      </c>
      <c r="H17" s="10" t="n">
        <f aca="false">Credit!B44</f>
        <v>3.23821910024678</v>
      </c>
    </row>
    <row r="18" customFormat="false" ht="15" hidden="false" customHeight="false" outlineLevel="0" collapsed="false">
      <c r="A18" s="8" t="s">
        <v>83</v>
      </c>
      <c r="B18" s="18" t="n">
        <v>4.13131587733763</v>
      </c>
      <c r="C18" s="18" t="n">
        <v>4.80421813035063</v>
      </c>
      <c r="D18" s="18" t="n">
        <v>8.53172237291576</v>
      </c>
      <c r="H18" s="10" t="n">
        <f aca="false">Credit!B45</f>
        <v>4.13131587733763</v>
      </c>
    </row>
    <row r="19" customFormat="false" ht="15" hidden="false" customHeight="false" outlineLevel="0" collapsed="false">
      <c r="A19" s="8" t="s">
        <v>84</v>
      </c>
      <c r="B19" s="18" t="n">
        <v>3.86563639969534</v>
      </c>
      <c r="C19" s="18" t="n">
        <v>4.41203705848527</v>
      </c>
      <c r="D19" s="18" t="n">
        <v>7.52799032904332</v>
      </c>
      <c r="H19" s="10" t="n">
        <f aca="false">Credit!B46</f>
        <v>3.86563639969534</v>
      </c>
    </row>
    <row r="20" customFormat="false" ht="15" hidden="false" customHeight="false" outlineLevel="0" collapsed="false">
      <c r="A20" s="8" t="s">
        <v>85</v>
      </c>
      <c r="B20" s="18" t="n">
        <v>3.29230905710152</v>
      </c>
      <c r="C20" s="18" t="n">
        <v>2.09912198697596</v>
      </c>
      <c r="D20" s="18" t="n">
        <v>1.74784886345391</v>
      </c>
      <c r="H20" s="10" t="n">
        <f aca="false">Credit!B47</f>
        <v>3.29230905710152</v>
      </c>
    </row>
    <row r="21" customFormat="false" ht="15" hidden="false" customHeight="false" outlineLevel="0" collapsed="false">
      <c r="A21" s="8" t="s">
        <v>86</v>
      </c>
      <c r="B21" s="18" t="n">
        <v>3.07214221712859</v>
      </c>
      <c r="C21" s="18" t="n">
        <v>1.84313150075938</v>
      </c>
      <c r="D21" s="18" t="n">
        <v>1.48302327808211</v>
      </c>
      <c r="H21" s="10" t="n">
        <f aca="false">Credit!B48</f>
        <v>3.07214221712859</v>
      </c>
    </row>
    <row r="22" customFormat="false" ht="15" hidden="false" customHeight="false" outlineLevel="0" collapsed="false">
      <c r="A22" s="8" t="s">
        <v>36</v>
      </c>
      <c r="B22" s="17" t="n">
        <v>773.562149723791</v>
      </c>
      <c r="C22" s="17" t="n">
        <v>531.896038318457</v>
      </c>
      <c r="D22" s="17" t="n">
        <v>387.332543240446</v>
      </c>
      <c r="H22" s="9" t="n">
        <f aca="false">Credit!B49</f>
        <v>773.562149723791</v>
      </c>
    </row>
    <row r="23" customFormat="false" ht="15" hidden="false" customHeight="false" outlineLevel="0" collapsed="false">
      <c r="A23" s="8" t="s">
        <v>37</v>
      </c>
      <c r="B23" s="17" t="n">
        <v>801.837850276209</v>
      </c>
      <c r="C23" s="17" t="n">
        <v>1043.50396168154</v>
      </c>
      <c r="D23" s="17" t="n">
        <v>978.867456759554</v>
      </c>
      <c r="H23" s="9" t="n">
        <f aca="false">Credit!B50</f>
        <v>801.837850276209</v>
      </c>
    </row>
    <row r="24" customFormat="false" ht="15" hidden="false" customHeight="false" outlineLevel="0" collapsed="false">
      <c r="A24" s="8" t="s">
        <v>87</v>
      </c>
      <c r="B24" s="17" t="n">
        <v>410</v>
      </c>
      <c r="C24" s="17" t="n">
        <v>410</v>
      </c>
      <c r="D24" s="17" t="n">
        <v>0</v>
      </c>
      <c r="H24" s="9" t="n">
        <f aca="false">Credit!B51</f>
        <v>410</v>
      </c>
    </row>
    <row r="25" customFormat="false" ht="15" hidden="false" customHeight="false" outlineLevel="0" collapsed="false">
      <c r="A25" s="8" t="s">
        <v>39</v>
      </c>
      <c r="B25" s="17" t="n">
        <v>0</v>
      </c>
      <c r="C25" s="17" t="n">
        <v>0</v>
      </c>
      <c r="D25" s="17" t="n">
        <v>1178.86745675955</v>
      </c>
      <c r="H25" s="9" t="n">
        <f aca="false">Credit!B52</f>
        <v>-0</v>
      </c>
    </row>
    <row r="26" customFormat="false" ht="15" hidden="false" customHeight="false" outlineLevel="0" collapsed="false">
      <c r="A26" s="8" t="s">
        <v>41</v>
      </c>
      <c r="B26" s="19" t="n">
        <v>1</v>
      </c>
      <c r="C26" s="19" t="n">
        <v>1</v>
      </c>
      <c r="D26" s="19" t="n">
        <v>0.586048136759896</v>
      </c>
      <c r="H26" s="11" t="n">
        <f aca="false">Credit!B53</f>
        <v>1</v>
      </c>
    </row>
    <row r="27" customFormat="false" ht="15" hidden="false" customHeight="false" outlineLevel="0" collapsed="false">
      <c r="A27" s="8" t="s">
        <v>88</v>
      </c>
      <c r="B27" s="20" t="s">
        <v>89</v>
      </c>
      <c r="C27" s="20" t="s">
        <v>89</v>
      </c>
      <c r="D27" s="20" t="s">
        <v>90</v>
      </c>
      <c r="H27" s="21" t="str">
        <f aca="false">Credit!B54</f>
        <v>None</v>
      </c>
    </row>
    <row r="28" customFormat="false" ht="15" hidden="false" customHeight="false" outlineLevel="0" collapsed="false">
      <c r="A28" s="2" t="s">
        <v>91</v>
      </c>
    </row>
    <row r="30" customFormat="false" ht="15" hidden="false" customHeight="false" outlineLevel="0" collapsed="false">
      <c r="A30" s="3" t="s">
        <v>92</v>
      </c>
    </row>
    <row r="31" customFormat="false" ht="15" hidden="false" customHeight="false" outlineLevel="0" collapsed="false">
      <c r="A31" s="8" t="s">
        <v>93</v>
      </c>
      <c r="B31" s="22" t="n">
        <v>-0.062841796875</v>
      </c>
    </row>
    <row r="32" customFormat="false" ht="15" hidden="false" customHeight="false" outlineLevel="0" collapsed="false">
      <c r="A32" s="8" t="s">
        <v>94</v>
      </c>
      <c r="B32" s="22" t="n">
        <v>-0.01162109375</v>
      </c>
    </row>
    <row r="33" customFormat="false" ht="15" hidden="false" customHeight="false" outlineLevel="0" collapsed="false">
      <c r="A33" s="8" t="s">
        <v>95</v>
      </c>
      <c r="B33" s="22" t="n">
        <v>-0.00595703125</v>
      </c>
    </row>
    <row r="40" customFormat="false" ht="15" hidden="false" customHeight="false" outlineLevel="0" collapsed="false">
      <c r="A40" s="3" t="s">
        <v>96</v>
      </c>
    </row>
    <row r="41" customFormat="false" ht="15" hidden="false" customHeight="false" outlineLevel="0" collapsed="false">
      <c r="A41" s="8" t="s">
        <v>97</v>
      </c>
      <c r="B41" s="23" t="n">
        <v>0</v>
      </c>
      <c r="C41" s="2" t="s">
        <v>98</v>
      </c>
    </row>
  </sheetData>
  <dataValidations count="1">
    <dataValidation allowBlank="false" errorStyle="stop" operator="between" showDropDown="false" showErrorMessage="true" showInputMessage="false" sqref="B3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15" hidden="false" customHeight="false" outlineLevel="0" collapsed="false">
      <c r="A4" s="6" t="s">
        <v>101</v>
      </c>
      <c r="B4" s="7" t="s">
        <v>102</v>
      </c>
      <c r="C4" s="7" t="s">
        <v>103</v>
      </c>
      <c r="D4" s="7" t="s">
        <v>104</v>
      </c>
      <c r="E4" s="7" t="s">
        <v>105</v>
      </c>
      <c r="F4" s="7" t="s">
        <v>106</v>
      </c>
      <c r="G4" s="7" t="s">
        <v>107</v>
      </c>
      <c r="H4" s="7" t="s">
        <v>108</v>
      </c>
    </row>
    <row r="5" customFormat="false" ht="15" hidden="false" customHeight="false" outlineLevel="0" collapsed="false">
      <c r="A5" s="24" t="s">
        <v>109</v>
      </c>
      <c r="B5" s="25"/>
      <c r="C5" s="25"/>
      <c r="D5" s="25"/>
      <c r="E5" s="25"/>
      <c r="F5" s="25"/>
      <c r="G5" s="25"/>
      <c r="H5" s="25"/>
    </row>
    <row r="6" customFormat="false" ht="15" hidden="false" customHeight="false" outlineLevel="0" collapsed="false">
      <c r="A6" s="3" t="s">
        <v>110</v>
      </c>
      <c r="B6" s="3" t="s">
        <v>111</v>
      </c>
      <c r="C6" s="26" t="n">
        <f aca="false">CHOOSE(Scenarios!$B$3,C7,C8,C9)</f>
        <v>-0.06</v>
      </c>
      <c r="D6" s="26" t="n">
        <f aca="false">CHOOSE(Scenarios!$B$3,D7,D8,D9)</f>
        <v>-0.05</v>
      </c>
      <c r="E6" s="26" t="n">
        <f aca="false">CHOOSE(Scenarios!$B$3,E7,E8,E9)</f>
        <v>-0.05</v>
      </c>
      <c r="F6" s="26" t="n">
        <f aca="false">CHOOSE(Scenarios!$B$3,F7,F8,F9)</f>
        <v>-0.045</v>
      </c>
      <c r="G6" s="26" t="n">
        <f aca="false">CHOOSE(Scenarios!$B$3,G7,G8,G9)</f>
        <v>-0.04</v>
      </c>
      <c r="H6" s="2" t="s">
        <v>112</v>
      </c>
    </row>
    <row r="7" customFormat="false" ht="15" hidden="false" customHeight="false" outlineLevel="0" collapsed="false">
      <c r="A7" s="15" t="s">
        <v>113</v>
      </c>
      <c r="B7" s="15" t="s">
        <v>23</v>
      </c>
      <c r="C7" s="19" t="n">
        <v>-0.06</v>
      </c>
      <c r="D7" s="19" t="n">
        <v>-0.05</v>
      </c>
      <c r="E7" s="19" t="n">
        <v>-0.05</v>
      </c>
      <c r="F7" s="19" t="n">
        <v>-0.045</v>
      </c>
      <c r="G7" s="19" t="n">
        <v>-0.04</v>
      </c>
    </row>
    <row r="8" customFormat="false" ht="15" hidden="false" customHeight="false" outlineLevel="0" collapsed="false">
      <c r="A8" s="15" t="s">
        <v>113</v>
      </c>
      <c r="B8" s="15" t="s">
        <v>24</v>
      </c>
      <c r="C8" s="19" t="n">
        <v>-0.06</v>
      </c>
      <c r="D8" s="19" t="n">
        <v>-0.08</v>
      </c>
      <c r="E8" s="19" t="n">
        <v>-0.08</v>
      </c>
      <c r="F8" s="19" t="n">
        <v>-0.07</v>
      </c>
      <c r="G8" s="19" t="n">
        <v>-0.06</v>
      </c>
    </row>
    <row r="9" customFormat="false" ht="15" hidden="false" customHeight="false" outlineLevel="0" collapsed="false">
      <c r="A9" s="15" t="s">
        <v>113</v>
      </c>
      <c r="B9" s="15" t="s">
        <v>25</v>
      </c>
      <c r="C9" s="19" t="n">
        <v>-0.06</v>
      </c>
      <c r="D9" s="19" t="n">
        <v>-0.1</v>
      </c>
      <c r="E9" s="19" t="n">
        <v>-0.1</v>
      </c>
      <c r="F9" s="19" t="n">
        <v>-0.09</v>
      </c>
      <c r="G9" s="19" t="n">
        <v>-0.08</v>
      </c>
    </row>
    <row r="11" customFormat="false" ht="15" hidden="false" customHeight="false" outlineLevel="0" collapsed="false">
      <c r="A11" s="3" t="s">
        <v>114</v>
      </c>
      <c r="B11" s="3" t="s">
        <v>111</v>
      </c>
      <c r="C11" s="26" t="n">
        <f aca="false">CHOOSE(Scenarios!$B$3,C12,C13,C14)</f>
        <v>-0.05</v>
      </c>
      <c r="D11" s="26" t="n">
        <f aca="false">CHOOSE(Scenarios!$B$3,D12,D13,D14)</f>
        <v>-0.04</v>
      </c>
      <c r="E11" s="26" t="n">
        <f aca="false">CHOOSE(Scenarios!$B$3,E12,E13,E14)</f>
        <v>-0.03</v>
      </c>
      <c r="F11" s="26" t="n">
        <f aca="false">CHOOSE(Scenarios!$B$3,F12,F13,F14)</f>
        <v>-0.02</v>
      </c>
      <c r="G11" s="26" t="n">
        <f aca="false">CHOOSE(Scenarios!$B$3,G12,G13,G14)</f>
        <v>-0.02</v>
      </c>
      <c r="H11" s="2" t="s">
        <v>115</v>
      </c>
    </row>
    <row r="12" customFormat="false" ht="15" hidden="false" customHeight="false" outlineLevel="0" collapsed="false">
      <c r="A12" s="15" t="s">
        <v>116</v>
      </c>
      <c r="B12" s="15" t="s">
        <v>23</v>
      </c>
      <c r="C12" s="19" t="n">
        <v>-0.05</v>
      </c>
      <c r="D12" s="19" t="n">
        <v>-0.04</v>
      </c>
      <c r="E12" s="19" t="n">
        <v>-0.03</v>
      </c>
      <c r="F12" s="19" t="n">
        <v>-0.02</v>
      </c>
      <c r="G12" s="19" t="n">
        <v>-0.02</v>
      </c>
    </row>
    <row r="13" customFormat="false" ht="15" hidden="false" customHeight="false" outlineLevel="0" collapsed="false">
      <c r="A13" s="15" t="s">
        <v>116</v>
      </c>
      <c r="B13" s="15" t="s">
        <v>24</v>
      </c>
      <c r="C13" s="19" t="n">
        <v>-0.05</v>
      </c>
      <c r="D13" s="19" t="n">
        <v>-0.06</v>
      </c>
      <c r="E13" s="19" t="n">
        <v>-0.05</v>
      </c>
      <c r="F13" s="19" t="n">
        <v>-0.04</v>
      </c>
      <c r="G13" s="19" t="n">
        <v>-0.03</v>
      </c>
    </row>
    <row r="14" customFormat="false" ht="15" hidden="false" customHeight="false" outlineLevel="0" collapsed="false">
      <c r="A14" s="15" t="s">
        <v>116</v>
      </c>
      <c r="B14" s="15" t="s">
        <v>25</v>
      </c>
      <c r="C14" s="19" t="n">
        <v>-0.05</v>
      </c>
      <c r="D14" s="19" t="n">
        <v>-0.08</v>
      </c>
      <c r="E14" s="19" t="n">
        <v>-0.06</v>
      </c>
      <c r="F14" s="19" t="n">
        <v>-0.05</v>
      </c>
      <c r="G14" s="19" t="n">
        <v>-0.04</v>
      </c>
    </row>
    <row r="16" customFormat="false" ht="15" hidden="false" customHeight="false" outlineLevel="0" collapsed="false">
      <c r="A16" s="3" t="s">
        <v>117</v>
      </c>
      <c r="B16" s="3" t="s">
        <v>111</v>
      </c>
      <c r="C16" s="26" t="n">
        <f aca="false">CHOOSE(Scenarios!$B$3,C17,C18,C19)</f>
        <v>-0.088</v>
      </c>
      <c r="D16" s="26" t="n">
        <f aca="false">CHOOSE(Scenarios!$B$3,D17,D18,D19)</f>
        <v>-0.04</v>
      </c>
      <c r="E16" s="26" t="n">
        <f aca="false">CHOOSE(Scenarios!$B$3,E17,E18,E19)</f>
        <v>0</v>
      </c>
      <c r="F16" s="26" t="n">
        <f aca="false">CHOOSE(Scenarios!$B$3,F17,F18,F19)</f>
        <v>0</v>
      </c>
      <c r="G16" s="26" t="n">
        <f aca="false">CHOOSE(Scenarios!$B$3,G17,G18,G19)</f>
        <v>0</v>
      </c>
      <c r="H16" s="2" t="s">
        <v>118</v>
      </c>
    </row>
    <row r="17" customFormat="false" ht="15" hidden="false" customHeight="false" outlineLevel="0" collapsed="false">
      <c r="A17" s="15" t="s">
        <v>119</v>
      </c>
      <c r="B17" s="15" t="s">
        <v>23</v>
      </c>
      <c r="C17" s="19" t="n">
        <v>-0.088</v>
      </c>
      <c r="D17" s="19" t="n">
        <v>-0.04</v>
      </c>
      <c r="E17" s="19" t="n">
        <v>0</v>
      </c>
      <c r="F17" s="19" t="n">
        <v>0</v>
      </c>
      <c r="G17" s="19" t="n">
        <v>0</v>
      </c>
    </row>
    <row r="18" customFormat="false" ht="15" hidden="false" customHeight="false" outlineLevel="0" collapsed="false">
      <c r="A18" s="15" t="s">
        <v>119</v>
      </c>
      <c r="B18" s="15" t="s">
        <v>24</v>
      </c>
      <c r="C18" s="19" t="n">
        <v>-0.095</v>
      </c>
      <c r="D18" s="19" t="n">
        <v>-0.06</v>
      </c>
      <c r="E18" s="19" t="n">
        <v>-0.03</v>
      </c>
      <c r="F18" s="19" t="n">
        <v>-0.02</v>
      </c>
      <c r="G18" s="19" t="n">
        <v>-0.02</v>
      </c>
    </row>
    <row r="19" customFormat="false" ht="15" hidden="false" customHeight="false" outlineLevel="0" collapsed="false">
      <c r="A19" s="15" t="s">
        <v>119</v>
      </c>
      <c r="B19" s="15" t="s">
        <v>25</v>
      </c>
      <c r="C19" s="19" t="n">
        <v>-0.1</v>
      </c>
      <c r="D19" s="19" t="n">
        <v>-0.08</v>
      </c>
      <c r="E19" s="19" t="n">
        <v>-0.05</v>
      </c>
      <c r="F19" s="19" t="n">
        <v>-0.03</v>
      </c>
      <c r="G19" s="19" t="n">
        <v>-0.03</v>
      </c>
    </row>
    <row r="21" customFormat="false" ht="15" hidden="false" customHeight="false" outlineLevel="0" collapsed="false">
      <c r="A21" s="3" t="s">
        <v>120</v>
      </c>
      <c r="B21" s="3" t="s">
        <v>111</v>
      </c>
      <c r="C21" s="26" t="n">
        <f aca="false">CHOOSE(Scenarios!$B$3,C22,C23,C24)</f>
        <v>0.035</v>
      </c>
      <c r="D21" s="26" t="n">
        <f aca="false">CHOOSE(Scenarios!$B$3,D22,D23,D24)</f>
        <v>0.03</v>
      </c>
      <c r="E21" s="26" t="n">
        <f aca="false">CHOOSE(Scenarios!$B$3,E22,E23,E24)</f>
        <v>0.03</v>
      </c>
      <c r="F21" s="26" t="n">
        <f aca="false">CHOOSE(Scenarios!$B$3,F22,F23,F24)</f>
        <v>0.025</v>
      </c>
      <c r="G21" s="26" t="n">
        <f aca="false">CHOOSE(Scenarios!$B$3,G22,G23,G24)</f>
        <v>0.025</v>
      </c>
      <c r="H21" s="2" t="s">
        <v>121</v>
      </c>
    </row>
    <row r="22" customFormat="false" ht="15" hidden="false" customHeight="false" outlineLevel="0" collapsed="false">
      <c r="A22" s="15" t="s">
        <v>122</v>
      </c>
      <c r="B22" s="15" t="s">
        <v>23</v>
      </c>
      <c r="C22" s="19" t="n">
        <v>0.035</v>
      </c>
      <c r="D22" s="19" t="n">
        <v>0.03</v>
      </c>
      <c r="E22" s="19" t="n">
        <v>0.03</v>
      </c>
      <c r="F22" s="19" t="n">
        <v>0.025</v>
      </c>
      <c r="G22" s="19" t="n">
        <v>0.025</v>
      </c>
    </row>
    <row r="23" customFormat="false" ht="15" hidden="false" customHeight="false" outlineLevel="0" collapsed="false">
      <c r="A23" s="15" t="s">
        <v>122</v>
      </c>
      <c r="B23" s="15" t="s">
        <v>24</v>
      </c>
      <c r="C23" s="19" t="n">
        <v>0.03</v>
      </c>
      <c r="D23" s="19" t="n">
        <v>0.01</v>
      </c>
      <c r="E23" s="19" t="n">
        <v>0.01</v>
      </c>
      <c r="F23" s="19" t="n">
        <v>0</v>
      </c>
      <c r="G23" s="19" t="n">
        <v>0</v>
      </c>
    </row>
    <row r="24" customFormat="false" ht="15" hidden="false" customHeight="false" outlineLevel="0" collapsed="false">
      <c r="A24" s="15" t="s">
        <v>122</v>
      </c>
      <c r="B24" s="15" t="s">
        <v>25</v>
      </c>
      <c r="C24" s="19" t="n">
        <v>0.028</v>
      </c>
      <c r="D24" s="19" t="n">
        <v>-0.01</v>
      </c>
      <c r="E24" s="19" t="n">
        <v>-0.02</v>
      </c>
      <c r="F24" s="19" t="n">
        <v>-0.02</v>
      </c>
      <c r="G24" s="19" t="n">
        <v>-0.02</v>
      </c>
    </row>
    <row r="26" customFormat="false" ht="15" hidden="false" customHeight="false" outlineLevel="0" collapsed="false">
      <c r="A26" s="3" t="s">
        <v>123</v>
      </c>
      <c r="B26" s="3" t="s">
        <v>111</v>
      </c>
      <c r="C26" s="27" t="n">
        <f aca="false">CHOOSE(Scenarios!$B$3,C27,C28,C29)</f>
        <v>34</v>
      </c>
      <c r="D26" s="27" t="n">
        <f aca="false">CHOOSE(Scenarios!$B$3,D27,D28,D29)</f>
        <v>95</v>
      </c>
      <c r="E26" s="27" t="n">
        <f aca="false">CHOOSE(Scenarios!$B$3,E27,E28,E29)</f>
        <v>103</v>
      </c>
      <c r="F26" s="27" t="n">
        <f aca="false">CHOOSE(Scenarios!$B$3,F27,F28,F29)</f>
        <v>112</v>
      </c>
      <c r="G26" s="27" t="n">
        <f aca="false">CHOOSE(Scenarios!$B$3,G27,G28,G29)</f>
        <v>120</v>
      </c>
      <c r="H26" s="2" t="s">
        <v>124</v>
      </c>
    </row>
    <row r="27" customFormat="false" ht="15" hidden="false" customHeight="false" outlineLevel="0" collapsed="false">
      <c r="A27" s="15" t="s">
        <v>125</v>
      </c>
      <c r="B27" s="15" t="s">
        <v>23</v>
      </c>
      <c r="C27" s="17" t="n">
        <v>34</v>
      </c>
      <c r="D27" s="17" t="n">
        <v>95</v>
      </c>
      <c r="E27" s="17" t="n">
        <v>103</v>
      </c>
      <c r="F27" s="17" t="n">
        <v>112</v>
      </c>
      <c r="G27" s="17" t="n">
        <v>120</v>
      </c>
    </row>
    <row r="28" customFormat="false" ht="15" hidden="false" customHeight="false" outlineLevel="0" collapsed="false">
      <c r="A28" s="15" t="s">
        <v>125</v>
      </c>
      <c r="B28" s="15" t="s">
        <v>24</v>
      </c>
      <c r="C28" s="17" t="n">
        <v>32</v>
      </c>
      <c r="D28" s="17" t="n">
        <v>85</v>
      </c>
      <c r="E28" s="17" t="n">
        <v>88</v>
      </c>
      <c r="F28" s="17" t="n">
        <v>90</v>
      </c>
      <c r="G28" s="17" t="n">
        <v>92</v>
      </c>
    </row>
    <row r="29" customFormat="false" ht="15" hidden="false" customHeight="false" outlineLevel="0" collapsed="false">
      <c r="A29" s="15" t="s">
        <v>125</v>
      </c>
      <c r="B29" s="15" t="s">
        <v>25</v>
      </c>
      <c r="C29" s="17" t="n">
        <v>30</v>
      </c>
      <c r="D29" s="17" t="n">
        <v>80</v>
      </c>
      <c r="E29" s="17" t="n">
        <v>80</v>
      </c>
      <c r="F29" s="17" t="n">
        <v>80</v>
      </c>
      <c r="G29" s="17" t="n">
        <v>80</v>
      </c>
    </row>
    <row r="31" customFormat="false" ht="15" hidden="false" customHeight="false" outlineLevel="0" collapsed="false">
      <c r="A31" s="24" t="s">
        <v>126</v>
      </c>
      <c r="B31" s="25"/>
      <c r="C31" s="25"/>
      <c r="D31" s="25"/>
      <c r="E31" s="25"/>
      <c r="F31" s="25"/>
      <c r="G31" s="25"/>
      <c r="H31" s="25"/>
    </row>
    <row r="32" customFormat="false" ht="15" hidden="false" customHeight="false" outlineLevel="0" collapsed="false">
      <c r="A32" s="3" t="s">
        <v>127</v>
      </c>
      <c r="B32" s="3" t="s">
        <v>111</v>
      </c>
      <c r="C32" s="26" t="n">
        <f aca="false">CHOOSE(Scenarios!$B$3,C33,C34,C35)</f>
        <v>0.578</v>
      </c>
      <c r="D32" s="26" t="n">
        <f aca="false">CHOOSE(Scenarios!$B$3,D33,D34,D35)</f>
        <v>0.555</v>
      </c>
      <c r="E32" s="26" t="n">
        <f aca="false">CHOOSE(Scenarios!$B$3,E33,E34,E35)</f>
        <v>0.55</v>
      </c>
      <c r="F32" s="26" t="n">
        <f aca="false">CHOOSE(Scenarios!$B$3,F33,F34,F35)</f>
        <v>0.545</v>
      </c>
      <c r="G32" s="26" t="n">
        <f aca="false">CHOOSE(Scenarios!$B$3,G33,G34,G35)</f>
        <v>0.54</v>
      </c>
      <c r="H32" s="2" t="s">
        <v>128</v>
      </c>
    </row>
    <row r="33" customFormat="false" ht="15" hidden="false" customHeight="false" outlineLevel="0" collapsed="false">
      <c r="A33" s="15" t="s">
        <v>129</v>
      </c>
      <c r="B33" s="15" t="s">
        <v>23</v>
      </c>
      <c r="C33" s="19" t="n">
        <v>0.578</v>
      </c>
      <c r="D33" s="19" t="n">
        <v>0.555</v>
      </c>
      <c r="E33" s="19" t="n">
        <v>0.55</v>
      </c>
      <c r="F33" s="19" t="n">
        <v>0.545</v>
      </c>
      <c r="G33" s="19" t="n">
        <v>0.54</v>
      </c>
    </row>
    <row r="34" customFormat="false" ht="15" hidden="false" customHeight="false" outlineLevel="0" collapsed="false">
      <c r="A34" s="15" t="s">
        <v>129</v>
      </c>
      <c r="B34" s="15" t="s">
        <v>24</v>
      </c>
      <c r="C34" s="19" t="n">
        <v>0.575</v>
      </c>
      <c r="D34" s="19" t="n">
        <v>0.53</v>
      </c>
      <c r="E34" s="19" t="n">
        <v>0.515</v>
      </c>
      <c r="F34" s="19" t="n">
        <v>0.505</v>
      </c>
      <c r="G34" s="19" t="n">
        <v>0.495</v>
      </c>
    </row>
    <row r="35" customFormat="false" ht="15" hidden="false" customHeight="false" outlineLevel="0" collapsed="false">
      <c r="A35" s="15" t="s">
        <v>129</v>
      </c>
      <c r="B35" s="15" t="s">
        <v>25</v>
      </c>
      <c r="C35" s="19" t="n">
        <v>0.573</v>
      </c>
      <c r="D35" s="19" t="n">
        <v>0.51</v>
      </c>
      <c r="E35" s="19" t="n">
        <v>0.49</v>
      </c>
      <c r="F35" s="19" t="n">
        <v>0.475</v>
      </c>
      <c r="G35" s="19" t="n">
        <v>0.46</v>
      </c>
    </row>
    <row r="37" customFormat="false" ht="15" hidden="false" customHeight="false" outlineLevel="0" collapsed="false">
      <c r="A37" s="3" t="s">
        <v>130</v>
      </c>
      <c r="B37" s="3" t="s">
        <v>111</v>
      </c>
      <c r="C37" s="26" t="n">
        <f aca="false">CHOOSE(Scenarios!$B$3,C38,C39,C40)</f>
        <v>0.308</v>
      </c>
      <c r="D37" s="26" t="n">
        <f aca="false">CHOOSE(Scenarios!$B$3,D38,D39,D40)</f>
        <v>0.3</v>
      </c>
      <c r="E37" s="26" t="n">
        <f aca="false">CHOOSE(Scenarios!$B$3,E38,E39,E40)</f>
        <v>0.295</v>
      </c>
      <c r="F37" s="26" t="n">
        <f aca="false">CHOOSE(Scenarios!$B$3,F38,F39,F40)</f>
        <v>0.29</v>
      </c>
      <c r="G37" s="26" t="n">
        <f aca="false">CHOOSE(Scenarios!$B$3,G38,G39,G40)</f>
        <v>0.29</v>
      </c>
      <c r="H37" s="2" t="s">
        <v>131</v>
      </c>
    </row>
    <row r="38" customFormat="false" ht="15" hidden="false" customHeight="false" outlineLevel="0" collapsed="false">
      <c r="A38" s="15" t="s">
        <v>132</v>
      </c>
      <c r="B38" s="15" t="s">
        <v>23</v>
      </c>
      <c r="C38" s="19" t="n">
        <v>0.308</v>
      </c>
      <c r="D38" s="19" t="n">
        <v>0.3</v>
      </c>
      <c r="E38" s="19" t="n">
        <v>0.295</v>
      </c>
      <c r="F38" s="19" t="n">
        <v>0.29</v>
      </c>
      <c r="G38" s="19" t="n">
        <v>0.29</v>
      </c>
    </row>
    <row r="39" customFormat="false" ht="15" hidden="false" customHeight="false" outlineLevel="0" collapsed="false">
      <c r="A39" s="15" t="s">
        <v>132</v>
      </c>
      <c r="B39" s="15" t="s">
        <v>24</v>
      </c>
      <c r="C39" s="19" t="n">
        <v>0.308</v>
      </c>
      <c r="D39" s="19" t="n">
        <v>0.31</v>
      </c>
      <c r="E39" s="19" t="n">
        <v>0.31</v>
      </c>
      <c r="F39" s="19" t="n">
        <v>0.31</v>
      </c>
      <c r="G39" s="19" t="n">
        <v>0.31</v>
      </c>
    </row>
    <row r="40" customFormat="false" ht="15" hidden="false" customHeight="false" outlineLevel="0" collapsed="false">
      <c r="A40" s="15" t="s">
        <v>132</v>
      </c>
      <c r="B40" s="15" t="s">
        <v>25</v>
      </c>
      <c r="C40" s="19" t="n">
        <v>0.31</v>
      </c>
      <c r="D40" s="19" t="n">
        <v>0.32</v>
      </c>
      <c r="E40" s="19" t="n">
        <v>0.325</v>
      </c>
      <c r="F40" s="19" t="n">
        <v>0.33</v>
      </c>
      <c r="G40" s="19" t="n">
        <v>0.33</v>
      </c>
    </row>
    <row r="42" customFormat="false" ht="15" hidden="false" customHeight="false" outlineLevel="0" collapsed="false">
      <c r="A42" s="3" t="s">
        <v>133</v>
      </c>
      <c r="B42" s="3" t="s">
        <v>111</v>
      </c>
      <c r="C42" s="26" t="n">
        <f aca="false">CHOOSE(Scenarios!$B$3,C43,C44,C45)</f>
        <v>0.021</v>
      </c>
      <c r="D42" s="26" t="n">
        <f aca="false">CHOOSE(Scenarios!$B$3,D43,D44,D45)</f>
        <v>0.022</v>
      </c>
      <c r="E42" s="26" t="n">
        <f aca="false">CHOOSE(Scenarios!$B$3,E43,E44,E45)</f>
        <v>0.022</v>
      </c>
      <c r="F42" s="26" t="n">
        <f aca="false">CHOOSE(Scenarios!$B$3,F43,F44,F45)</f>
        <v>0.022</v>
      </c>
      <c r="G42" s="26" t="n">
        <f aca="false">CHOOSE(Scenarios!$B$3,G43,G44,G45)</f>
        <v>0.022</v>
      </c>
      <c r="H42" s="2" t="s">
        <v>134</v>
      </c>
    </row>
    <row r="43" customFormat="false" ht="15" hidden="false" customHeight="false" outlineLevel="0" collapsed="false">
      <c r="A43" s="15" t="s">
        <v>135</v>
      </c>
      <c r="B43" s="15" t="s">
        <v>23</v>
      </c>
      <c r="C43" s="19" t="n">
        <v>0.021</v>
      </c>
      <c r="D43" s="19" t="n">
        <v>0.022</v>
      </c>
      <c r="E43" s="19" t="n">
        <v>0.022</v>
      </c>
      <c r="F43" s="19" t="n">
        <v>0.022</v>
      </c>
      <c r="G43" s="19" t="n">
        <v>0.022</v>
      </c>
    </row>
    <row r="44" customFormat="false" ht="15" hidden="false" customHeight="false" outlineLevel="0" collapsed="false">
      <c r="A44" s="15" t="s">
        <v>135</v>
      </c>
      <c r="B44" s="15" t="s">
        <v>24</v>
      </c>
      <c r="C44" s="19" t="n">
        <v>0.021</v>
      </c>
      <c r="D44" s="19" t="n">
        <v>0.022</v>
      </c>
      <c r="E44" s="19" t="n">
        <v>0.022</v>
      </c>
      <c r="F44" s="19" t="n">
        <v>0.022</v>
      </c>
      <c r="G44" s="19" t="n">
        <v>0.022</v>
      </c>
    </row>
    <row r="45" customFormat="false" ht="15" hidden="false" customHeight="false" outlineLevel="0" collapsed="false">
      <c r="A45" s="15" t="s">
        <v>135</v>
      </c>
      <c r="B45" s="15" t="s">
        <v>25</v>
      </c>
      <c r="C45" s="19" t="n">
        <v>0.021</v>
      </c>
      <c r="D45" s="19" t="n">
        <v>0.022</v>
      </c>
      <c r="E45" s="19" t="n">
        <v>0.022</v>
      </c>
      <c r="F45" s="19" t="n">
        <v>0.022</v>
      </c>
      <c r="G45" s="19" t="n">
        <v>0.022</v>
      </c>
    </row>
    <row r="47" customFormat="false" ht="15" hidden="false" customHeight="false" outlineLevel="0" collapsed="false">
      <c r="A47" s="3" t="s">
        <v>136</v>
      </c>
      <c r="B47" s="3" t="s">
        <v>111</v>
      </c>
      <c r="C47" s="27" t="n">
        <f aca="false">CHOOSE(Scenarios!$B$3,C48,C49,C50)</f>
        <v>47.9</v>
      </c>
      <c r="D47" s="27" t="n">
        <f aca="false">CHOOSE(Scenarios!$B$3,D48,D49,D50)</f>
        <v>15</v>
      </c>
      <c r="E47" s="27" t="n">
        <f aca="false">CHOOSE(Scenarios!$B$3,E48,E49,E50)</f>
        <v>5</v>
      </c>
      <c r="F47" s="27" t="n">
        <f aca="false">CHOOSE(Scenarios!$B$3,F48,F49,F50)</f>
        <v>5</v>
      </c>
      <c r="G47" s="27" t="n">
        <f aca="false">CHOOSE(Scenarios!$B$3,G48,G49,G50)</f>
        <v>5</v>
      </c>
      <c r="H47" s="2" t="s">
        <v>137</v>
      </c>
    </row>
    <row r="48" customFormat="false" ht="15" hidden="false" customHeight="false" outlineLevel="0" collapsed="false">
      <c r="A48" s="15" t="s">
        <v>138</v>
      </c>
      <c r="B48" s="15" t="s">
        <v>23</v>
      </c>
      <c r="C48" s="17" t="n">
        <v>47.9</v>
      </c>
      <c r="D48" s="17" t="n">
        <v>15</v>
      </c>
      <c r="E48" s="17" t="n">
        <v>5</v>
      </c>
      <c r="F48" s="17" t="n">
        <v>5</v>
      </c>
      <c r="G48" s="17" t="n">
        <v>5</v>
      </c>
    </row>
    <row r="49" customFormat="false" ht="15" hidden="false" customHeight="false" outlineLevel="0" collapsed="false">
      <c r="A49" s="15" t="s">
        <v>138</v>
      </c>
      <c r="B49" s="15" t="s">
        <v>24</v>
      </c>
      <c r="C49" s="17" t="n">
        <v>47.9</v>
      </c>
      <c r="D49" s="17" t="n">
        <v>15</v>
      </c>
      <c r="E49" s="17" t="n">
        <v>5</v>
      </c>
      <c r="F49" s="17" t="n">
        <v>5</v>
      </c>
      <c r="G49" s="17" t="n">
        <v>5</v>
      </c>
    </row>
    <row r="50" customFormat="false" ht="15" hidden="false" customHeight="false" outlineLevel="0" collapsed="false">
      <c r="A50" s="15" t="s">
        <v>138</v>
      </c>
      <c r="B50" s="15" t="s">
        <v>25</v>
      </c>
      <c r="C50" s="17" t="n">
        <v>47.9</v>
      </c>
      <c r="D50" s="17" t="n">
        <v>20</v>
      </c>
      <c r="E50" s="17" t="n">
        <v>10</v>
      </c>
      <c r="F50" s="17" t="n">
        <v>5</v>
      </c>
      <c r="G50" s="17" t="n">
        <v>5</v>
      </c>
    </row>
    <row r="52" customFormat="false" ht="15" hidden="false" customHeight="false" outlineLevel="0" collapsed="false">
      <c r="A52" s="3" t="s">
        <v>139</v>
      </c>
      <c r="B52" s="3" t="s">
        <v>111</v>
      </c>
      <c r="C52" s="27" t="n">
        <f aca="false">CHOOSE(Scenarios!$B$3,C53,C54,C55)</f>
        <v>10.1</v>
      </c>
      <c r="D52" s="27" t="n">
        <f aca="false">CHOOSE(Scenarios!$B$3,D53,D54,D55)</f>
        <v>0</v>
      </c>
      <c r="E52" s="27" t="n">
        <f aca="false">CHOOSE(Scenarios!$B$3,E53,E54,E55)</f>
        <v>0</v>
      </c>
      <c r="F52" s="27" t="n">
        <f aca="false">CHOOSE(Scenarios!$B$3,F53,F54,F55)</f>
        <v>0</v>
      </c>
      <c r="G52" s="27" t="n">
        <f aca="false">CHOOSE(Scenarios!$B$3,G53,G54,G55)</f>
        <v>0</v>
      </c>
      <c r="H52" s="2" t="s">
        <v>140</v>
      </c>
    </row>
    <row r="53" customFormat="false" ht="15" hidden="false" customHeight="false" outlineLevel="0" collapsed="false">
      <c r="A53" s="15" t="s">
        <v>141</v>
      </c>
      <c r="B53" s="15" t="s">
        <v>23</v>
      </c>
      <c r="C53" s="17" t="n">
        <v>10.1</v>
      </c>
      <c r="D53" s="17" t="n">
        <v>0</v>
      </c>
      <c r="E53" s="17" t="n">
        <v>0</v>
      </c>
      <c r="F53" s="17" t="n">
        <v>0</v>
      </c>
      <c r="G53" s="17" t="n">
        <v>0</v>
      </c>
    </row>
    <row r="54" customFormat="false" ht="15" hidden="false" customHeight="false" outlineLevel="0" collapsed="false">
      <c r="A54" s="15" t="s">
        <v>141</v>
      </c>
      <c r="B54" s="15" t="s">
        <v>24</v>
      </c>
      <c r="C54" s="17" t="n">
        <v>10.1</v>
      </c>
      <c r="D54" s="17" t="n">
        <v>0</v>
      </c>
      <c r="E54" s="17" t="n">
        <v>0</v>
      </c>
      <c r="F54" s="17" t="n">
        <v>0</v>
      </c>
      <c r="G54" s="17" t="n">
        <v>0</v>
      </c>
    </row>
    <row r="55" customFormat="false" ht="15" hidden="false" customHeight="false" outlineLevel="0" collapsed="false">
      <c r="A55" s="15" t="s">
        <v>141</v>
      </c>
      <c r="B55" s="15" t="s">
        <v>25</v>
      </c>
      <c r="C55" s="17" t="n">
        <v>10.1</v>
      </c>
      <c r="D55" s="17" t="n">
        <v>0</v>
      </c>
      <c r="E55" s="17" t="n">
        <v>0</v>
      </c>
      <c r="F55" s="17" t="n">
        <v>0</v>
      </c>
      <c r="G55" s="17" t="n">
        <v>0</v>
      </c>
    </row>
    <row r="57" customFormat="false" ht="15" hidden="false" customHeight="false" outlineLevel="0" collapsed="false">
      <c r="A57" s="3" t="s">
        <v>142</v>
      </c>
      <c r="B57" s="3" t="s">
        <v>111</v>
      </c>
      <c r="C57" s="26" t="n">
        <f aca="false">CHOOSE(Scenarios!$B$3,C58,C59,C60)</f>
        <v>0.042</v>
      </c>
      <c r="D57" s="26" t="n">
        <f aca="false">CHOOSE(Scenarios!$B$3,D58,D59,D60)</f>
        <v>0.042</v>
      </c>
      <c r="E57" s="26" t="n">
        <f aca="false">CHOOSE(Scenarios!$B$3,E58,E59,E60)</f>
        <v>0.042</v>
      </c>
      <c r="F57" s="26" t="n">
        <f aca="false">CHOOSE(Scenarios!$B$3,F58,F59,F60)</f>
        <v>0.042</v>
      </c>
      <c r="G57" s="26" t="n">
        <f aca="false">CHOOSE(Scenarios!$B$3,G58,G59,G60)</f>
        <v>0.042</v>
      </c>
      <c r="H57" s="2" t="s">
        <v>143</v>
      </c>
    </row>
    <row r="58" customFormat="false" ht="15" hidden="false" customHeight="false" outlineLevel="0" collapsed="false">
      <c r="A58" s="15" t="s">
        <v>144</v>
      </c>
      <c r="B58" s="15" t="s">
        <v>23</v>
      </c>
      <c r="C58" s="19" t="n">
        <v>0.042</v>
      </c>
      <c r="D58" s="19" t="n">
        <v>0.042</v>
      </c>
      <c r="E58" s="19" t="n">
        <v>0.042</v>
      </c>
      <c r="F58" s="19" t="n">
        <v>0.042</v>
      </c>
      <c r="G58" s="19" t="n">
        <v>0.042</v>
      </c>
    </row>
    <row r="59" customFormat="false" ht="15" hidden="false" customHeight="false" outlineLevel="0" collapsed="false">
      <c r="A59" s="15" t="s">
        <v>144</v>
      </c>
      <c r="B59" s="15" t="s">
        <v>24</v>
      </c>
      <c r="C59" s="19" t="n">
        <v>0.042</v>
      </c>
      <c r="D59" s="19" t="n">
        <v>0.042</v>
      </c>
      <c r="E59" s="19" t="n">
        <v>0.042</v>
      </c>
      <c r="F59" s="19" t="n">
        <v>0.042</v>
      </c>
      <c r="G59" s="19" t="n">
        <v>0.042</v>
      </c>
    </row>
    <row r="60" customFormat="false" ht="15" hidden="false" customHeight="false" outlineLevel="0" collapsed="false">
      <c r="A60" s="15" t="s">
        <v>144</v>
      </c>
      <c r="B60" s="15" t="s">
        <v>25</v>
      </c>
      <c r="C60" s="19" t="n">
        <v>0.042</v>
      </c>
      <c r="D60" s="19" t="n">
        <v>0.042</v>
      </c>
      <c r="E60" s="19" t="n">
        <v>0.042</v>
      </c>
      <c r="F60" s="19" t="n">
        <v>0.042</v>
      </c>
      <c r="G60" s="19" t="n">
        <v>0.042</v>
      </c>
    </row>
    <row r="62" customFormat="false" ht="15" hidden="false" customHeight="false" outlineLevel="0" collapsed="false">
      <c r="A62" s="3" t="s">
        <v>145</v>
      </c>
      <c r="B62" s="3" t="s">
        <v>111</v>
      </c>
      <c r="C62" s="27" t="n">
        <f aca="false">CHOOSE(Scenarios!$B$3,C63,C64,C65)</f>
        <v>2</v>
      </c>
      <c r="D62" s="27" t="n">
        <f aca="false">CHOOSE(Scenarios!$B$3,D63,D64,D65)</f>
        <v>4.5</v>
      </c>
      <c r="E62" s="27" t="n">
        <f aca="false">CHOOSE(Scenarios!$B$3,E63,E64,E65)</f>
        <v>4.5</v>
      </c>
      <c r="F62" s="27" t="n">
        <f aca="false">CHOOSE(Scenarios!$B$3,F63,F64,F65)</f>
        <v>4.5</v>
      </c>
      <c r="G62" s="27" t="n">
        <f aca="false">CHOOSE(Scenarios!$B$3,G63,G64,G65)</f>
        <v>4.5</v>
      </c>
      <c r="H62" s="2" t="s">
        <v>146</v>
      </c>
    </row>
    <row r="63" customFormat="false" ht="15" hidden="false" customHeight="false" outlineLevel="0" collapsed="false">
      <c r="A63" s="15" t="s">
        <v>147</v>
      </c>
      <c r="B63" s="15" t="s">
        <v>23</v>
      </c>
      <c r="C63" s="17" t="n">
        <v>2</v>
      </c>
      <c r="D63" s="17" t="n">
        <v>4.5</v>
      </c>
      <c r="E63" s="17" t="n">
        <v>4.5</v>
      </c>
      <c r="F63" s="17" t="n">
        <v>4.5</v>
      </c>
      <c r="G63" s="17" t="n">
        <v>4.5</v>
      </c>
    </row>
    <row r="64" customFormat="false" ht="15" hidden="false" customHeight="false" outlineLevel="0" collapsed="false">
      <c r="A64" s="15" t="s">
        <v>147</v>
      </c>
      <c r="B64" s="15" t="s">
        <v>24</v>
      </c>
      <c r="C64" s="17" t="n">
        <v>2</v>
      </c>
      <c r="D64" s="17" t="n">
        <v>4.5</v>
      </c>
      <c r="E64" s="17" t="n">
        <v>4.5</v>
      </c>
      <c r="F64" s="17" t="n">
        <v>4.5</v>
      </c>
      <c r="G64" s="17" t="n">
        <v>4.5</v>
      </c>
    </row>
    <row r="65" customFormat="false" ht="15" hidden="false" customHeight="false" outlineLevel="0" collapsed="false">
      <c r="A65" s="15" t="s">
        <v>147</v>
      </c>
      <c r="B65" s="15" t="s">
        <v>25</v>
      </c>
      <c r="C65" s="17" t="n">
        <v>2</v>
      </c>
      <c r="D65" s="17" t="n">
        <v>4.5</v>
      </c>
      <c r="E65" s="17" t="n">
        <v>4.5</v>
      </c>
      <c r="F65" s="17" t="n">
        <v>4.5</v>
      </c>
      <c r="G65" s="17" t="n">
        <v>4.5</v>
      </c>
    </row>
    <row r="67" customFormat="false" ht="15" hidden="false" customHeight="false" outlineLevel="0" collapsed="false">
      <c r="A67" s="3" t="s">
        <v>148</v>
      </c>
      <c r="B67" s="3" t="s">
        <v>111</v>
      </c>
      <c r="C67" s="26" t="n">
        <f aca="false">CHOOSE(Scenarios!$B$3,C68,C69,C70)</f>
        <v>0.02</v>
      </c>
      <c r="D67" s="26" t="n">
        <f aca="false">CHOOSE(Scenarios!$B$3,D68,D69,D70)</f>
        <v>0.02</v>
      </c>
      <c r="E67" s="26" t="n">
        <f aca="false">CHOOSE(Scenarios!$B$3,E68,E69,E70)</f>
        <v>0.02</v>
      </c>
      <c r="F67" s="26" t="n">
        <f aca="false">CHOOSE(Scenarios!$B$3,F68,F69,F70)</f>
        <v>0.02</v>
      </c>
      <c r="G67" s="26" t="n">
        <f aca="false">CHOOSE(Scenarios!$B$3,G68,G69,G70)</f>
        <v>0.02</v>
      </c>
      <c r="H67" s="2" t="s">
        <v>149</v>
      </c>
    </row>
    <row r="68" customFormat="false" ht="15" hidden="false" customHeight="false" outlineLevel="0" collapsed="false">
      <c r="A68" s="15" t="s">
        <v>150</v>
      </c>
      <c r="B68" s="15" t="s">
        <v>23</v>
      </c>
      <c r="C68" s="19" t="n">
        <v>0.02</v>
      </c>
      <c r="D68" s="19" t="n">
        <v>0.02</v>
      </c>
      <c r="E68" s="19" t="n">
        <v>0.02</v>
      </c>
      <c r="F68" s="19" t="n">
        <v>0.02</v>
      </c>
      <c r="G68" s="19" t="n">
        <v>0.02</v>
      </c>
    </row>
    <row r="69" customFormat="false" ht="15" hidden="false" customHeight="false" outlineLevel="0" collapsed="false">
      <c r="A69" s="15" t="s">
        <v>150</v>
      </c>
      <c r="B69" s="15" t="s">
        <v>24</v>
      </c>
      <c r="C69" s="19" t="n">
        <v>0.02</v>
      </c>
      <c r="D69" s="19" t="n">
        <v>0.02</v>
      </c>
      <c r="E69" s="19" t="n">
        <v>0.02</v>
      </c>
      <c r="F69" s="19" t="n">
        <v>0.02</v>
      </c>
      <c r="G69" s="19" t="n">
        <v>0.02</v>
      </c>
    </row>
    <row r="70" customFormat="false" ht="15" hidden="false" customHeight="false" outlineLevel="0" collapsed="false">
      <c r="A70" s="15" t="s">
        <v>150</v>
      </c>
      <c r="B70" s="15" t="s">
        <v>25</v>
      </c>
      <c r="C70" s="19" t="n">
        <v>0.02</v>
      </c>
      <c r="D70" s="19" t="n">
        <v>0.02</v>
      </c>
      <c r="E70" s="19" t="n">
        <v>0.02</v>
      </c>
      <c r="F70" s="19" t="n">
        <v>0.02</v>
      </c>
      <c r="G70" s="19" t="n">
        <v>0.02</v>
      </c>
    </row>
    <row r="72" customFormat="false" ht="15" hidden="false" customHeight="false" outlineLevel="0" collapsed="false">
      <c r="A72" s="3" t="s">
        <v>151</v>
      </c>
      <c r="B72" s="3" t="s">
        <v>111</v>
      </c>
      <c r="C72" s="26" t="n">
        <f aca="false">CHOOSE(Scenarios!$B$3,C73,C74,C75)</f>
        <v>0.005</v>
      </c>
      <c r="D72" s="26" t="n">
        <f aca="false">CHOOSE(Scenarios!$B$3,D73,D74,D75)</f>
        <v>0.02</v>
      </c>
      <c r="E72" s="26" t="n">
        <f aca="false">CHOOSE(Scenarios!$B$3,E73,E74,E75)</f>
        <v>0.025</v>
      </c>
      <c r="F72" s="26" t="n">
        <f aca="false">CHOOSE(Scenarios!$B$3,F73,F74,F75)</f>
        <v>0.025</v>
      </c>
      <c r="G72" s="26" t="n">
        <f aca="false">CHOOSE(Scenarios!$B$3,G73,G74,G75)</f>
        <v>0.025</v>
      </c>
      <c r="H72" s="2" t="s">
        <v>152</v>
      </c>
    </row>
    <row r="73" customFormat="false" ht="15" hidden="false" customHeight="false" outlineLevel="0" collapsed="false">
      <c r="A73" s="15" t="s">
        <v>153</v>
      </c>
      <c r="B73" s="15" t="s">
        <v>23</v>
      </c>
      <c r="C73" s="19" t="n">
        <v>0.005</v>
      </c>
      <c r="D73" s="19" t="n">
        <v>0.02</v>
      </c>
      <c r="E73" s="19" t="n">
        <v>0.025</v>
      </c>
      <c r="F73" s="19" t="n">
        <v>0.025</v>
      </c>
      <c r="G73" s="19" t="n">
        <v>0.025</v>
      </c>
    </row>
    <row r="74" customFormat="false" ht="15" hidden="false" customHeight="false" outlineLevel="0" collapsed="false">
      <c r="A74" s="15" t="s">
        <v>153</v>
      </c>
      <c r="B74" s="15" t="s">
        <v>24</v>
      </c>
      <c r="C74" s="19" t="n">
        <v>0.005</v>
      </c>
      <c r="D74" s="19" t="n">
        <v>0.02</v>
      </c>
      <c r="E74" s="19" t="n">
        <v>0.025</v>
      </c>
      <c r="F74" s="19" t="n">
        <v>0.025</v>
      </c>
      <c r="G74" s="19" t="n">
        <v>0.025</v>
      </c>
    </row>
    <row r="75" customFormat="false" ht="15" hidden="false" customHeight="false" outlineLevel="0" collapsed="false">
      <c r="A75" s="15" t="s">
        <v>153</v>
      </c>
      <c r="B75" s="15" t="s">
        <v>25</v>
      </c>
      <c r="C75" s="19" t="n">
        <v>0.005</v>
      </c>
      <c r="D75" s="19" t="n">
        <v>0.02</v>
      </c>
      <c r="E75" s="19" t="n">
        <v>0.025</v>
      </c>
      <c r="F75" s="19" t="n">
        <v>0.025</v>
      </c>
      <c r="G75" s="19" t="n">
        <v>0.025</v>
      </c>
    </row>
    <row r="77" customFormat="false" ht="15" hidden="false" customHeight="false" outlineLevel="0" collapsed="false">
      <c r="A77" s="3" t="s">
        <v>154</v>
      </c>
      <c r="B77" s="3" t="s">
        <v>111</v>
      </c>
      <c r="C77" s="26" t="n">
        <f aca="false">CHOOSE(Scenarios!$B$3,C78,C79,C80)</f>
        <v>0.3</v>
      </c>
      <c r="D77" s="26" t="n">
        <f aca="false">CHOOSE(Scenarios!$B$3,D78,D79,D80)</f>
        <v>0.27</v>
      </c>
      <c r="E77" s="26" t="n">
        <f aca="false">CHOOSE(Scenarios!$B$3,E78,E79,E80)</f>
        <v>0.27</v>
      </c>
      <c r="F77" s="26" t="n">
        <f aca="false">CHOOSE(Scenarios!$B$3,F78,F79,F80)</f>
        <v>0.27</v>
      </c>
      <c r="G77" s="26" t="n">
        <f aca="false">CHOOSE(Scenarios!$B$3,G78,G79,G80)</f>
        <v>0.27</v>
      </c>
      <c r="H77" s="2" t="s">
        <v>155</v>
      </c>
    </row>
    <row r="78" customFormat="false" ht="15" hidden="false" customHeight="false" outlineLevel="0" collapsed="false">
      <c r="A78" s="15" t="s">
        <v>156</v>
      </c>
      <c r="B78" s="15" t="s">
        <v>23</v>
      </c>
      <c r="C78" s="19" t="n">
        <v>0.3</v>
      </c>
      <c r="D78" s="19" t="n">
        <v>0.27</v>
      </c>
      <c r="E78" s="19" t="n">
        <v>0.27</v>
      </c>
      <c r="F78" s="19" t="n">
        <v>0.27</v>
      </c>
      <c r="G78" s="19" t="n">
        <v>0.27</v>
      </c>
    </row>
    <row r="79" customFormat="false" ht="15" hidden="false" customHeight="false" outlineLevel="0" collapsed="false">
      <c r="A79" s="15" t="s">
        <v>156</v>
      </c>
      <c r="B79" s="15" t="s">
        <v>24</v>
      </c>
      <c r="C79" s="19" t="n">
        <v>0.3</v>
      </c>
      <c r="D79" s="19" t="n">
        <v>0.27</v>
      </c>
      <c r="E79" s="19" t="n">
        <v>0.27</v>
      </c>
      <c r="F79" s="19" t="n">
        <v>0.27</v>
      </c>
      <c r="G79" s="19" t="n">
        <v>0.27</v>
      </c>
    </row>
    <row r="80" customFormat="false" ht="15" hidden="false" customHeight="false" outlineLevel="0" collapsed="false">
      <c r="A80" s="15" t="s">
        <v>156</v>
      </c>
      <c r="B80" s="15" t="s">
        <v>25</v>
      </c>
      <c r="C80" s="19" t="n">
        <v>0.3</v>
      </c>
      <c r="D80" s="19" t="n">
        <v>0.27</v>
      </c>
      <c r="E80" s="19" t="n">
        <v>0.27</v>
      </c>
      <c r="F80" s="19" t="n">
        <v>0.27</v>
      </c>
      <c r="G80" s="19" t="n">
        <v>0.27</v>
      </c>
    </row>
    <row r="82" customFormat="false" ht="15" hidden="false" customHeight="false" outlineLevel="0" collapsed="false">
      <c r="A82" s="24" t="s">
        <v>157</v>
      </c>
      <c r="B82" s="25"/>
      <c r="C82" s="25"/>
      <c r="D82" s="25"/>
      <c r="E82" s="25"/>
      <c r="F82" s="25"/>
      <c r="G82" s="25"/>
      <c r="H82" s="25"/>
    </row>
    <row r="83" customFormat="false" ht="15" hidden="false" customHeight="false" outlineLevel="0" collapsed="false">
      <c r="A83" s="3" t="s">
        <v>158</v>
      </c>
      <c r="B83" s="3" t="s">
        <v>111</v>
      </c>
      <c r="C83" s="28" t="n">
        <f aca="false">CHOOSE(Scenarios!$B$3,C84,C85,C86)</f>
        <v>65</v>
      </c>
      <c r="D83" s="28" t="n">
        <f aca="false">CHOOSE(Scenarios!$B$3,D84,D85,D86)</f>
        <v>62</v>
      </c>
      <c r="E83" s="28" t="n">
        <f aca="false">CHOOSE(Scenarios!$B$3,E84,E85,E86)</f>
        <v>62</v>
      </c>
      <c r="F83" s="28" t="n">
        <f aca="false">CHOOSE(Scenarios!$B$3,F84,F85,F86)</f>
        <v>62</v>
      </c>
      <c r="G83" s="28" t="n">
        <f aca="false">CHOOSE(Scenarios!$B$3,G84,G85,G86)</f>
        <v>62</v>
      </c>
      <c r="H83" s="2" t="s">
        <v>159</v>
      </c>
    </row>
    <row r="84" customFormat="false" ht="15" hidden="false" customHeight="false" outlineLevel="0" collapsed="false">
      <c r="A84" s="15" t="s">
        <v>160</v>
      </c>
      <c r="B84" s="15" t="s">
        <v>23</v>
      </c>
      <c r="C84" s="29" t="n">
        <v>65</v>
      </c>
      <c r="D84" s="29" t="n">
        <v>62</v>
      </c>
      <c r="E84" s="29" t="n">
        <v>62</v>
      </c>
      <c r="F84" s="29" t="n">
        <v>62</v>
      </c>
      <c r="G84" s="29" t="n">
        <v>62</v>
      </c>
    </row>
    <row r="85" customFormat="false" ht="15" hidden="false" customHeight="false" outlineLevel="0" collapsed="false">
      <c r="A85" s="15" t="s">
        <v>160</v>
      </c>
      <c r="B85" s="15" t="s">
        <v>24</v>
      </c>
      <c r="C85" s="29" t="n">
        <v>65</v>
      </c>
      <c r="D85" s="29" t="n">
        <v>62</v>
      </c>
      <c r="E85" s="29" t="n">
        <v>62</v>
      </c>
      <c r="F85" s="29" t="n">
        <v>62</v>
      </c>
      <c r="G85" s="29" t="n">
        <v>62</v>
      </c>
    </row>
    <row r="86" customFormat="false" ht="15" hidden="false" customHeight="false" outlineLevel="0" collapsed="false">
      <c r="A86" s="15" t="s">
        <v>160</v>
      </c>
      <c r="B86" s="15" t="s">
        <v>25</v>
      </c>
      <c r="C86" s="29" t="n">
        <v>65</v>
      </c>
      <c r="D86" s="29" t="n">
        <v>65</v>
      </c>
      <c r="E86" s="29" t="n">
        <v>65</v>
      </c>
      <c r="F86" s="29" t="n">
        <v>65</v>
      </c>
      <c r="G86" s="29" t="n">
        <v>65</v>
      </c>
    </row>
    <row r="88" customFormat="false" ht="15" hidden="false" customHeight="false" outlineLevel="0" collapsed="false">
      <c r="A88" s="3" t="s">
        <v>161</v>
      </c>
      <c r="B88" s="3" t="s">
        <v>111</v>
      </c>
      <c r="C88" s="28" t="n">
        <f aca="false">CHOOSE(Scenarios!$B$3,C89,C90,C91)</f>
        <v>200</v>
      </c>
      <c r="D88" s="28" t="n">
        <f aca="false">CHOOSE(Scenarios!$B$3,D89,D90,D91)</f>
        <v>190</v>
      </c>
      <c r="E88" s="28" t="n">
        <f aca="false">CHOOSE(Scenarios!$B$3,E89,E90,E91)</f>
        <v>185</v>
      </c>
      <c r="F88" s="28" t="n">
        <f aca="false">CHOOSE(Scenarios!$B$3,F89,F90,F91)</f>
        <v>180</v>
      </c>
      <c r="G88" s="28" t="n">
        <f aca="false">CHOOSE(Scenarios!$B$3,G89,G90,G91)</f>
        <v>180</v>
      </c>
      <c r="H88" s="2" t="s">
        <v>162</v>
      </c>
    </row>
    <row r="89" customFormat="false" ht="15" hidden="false" customHeight="false" outlineLevel="0" collapsed="false">
      <c r="A89" s="15" t="s">
        <v>163</v>
      </c>
      <c r="B89" s="15" t="s">
        <v>23</v>
      </c>
      <c r="C89" s="29" t="n">
        <v>200</v>
      </c>
      <c r="D89" s="29" t="n">
        <v>190</v>
      </c>
      <c r="E89" s="29" t="n">
        <v>185</v>
      </c>
      <c r="F89" s="29" t="n">
        <v>180</v>
      </c>
      <c r="G89" s="29" t="n">
        <v>180</v>
      </c>
    </row>
    <row r="90" customFormat="false" ht="15" hidden="false" customHeight="false" outlineLevel="0" collapsed="false">
      <c r="A90" s="15" t="s">
        <v>163</v>
      </c>
      <c r="B90" s="15" t="s">
        <v>24</v>
      </c>
      <c r="C90" s="29" t="n">
        <v>200</v>
      </c>
      <c r="D90" s="29" t="n">
        <v>195</v>
      </c>
      <c r="E90" s="29" t="n">
        <v>195</v>
      </c>
      <c r="F90" s="29" t="n">
        <v>195</v>
      </c>
      <c r="G90" s="29" t="n">
        <v>195</v>
      </c>
    </row>
    <row r="91" customFormat="false" ht="15" hidden="false" customHeight="false" outlineLevel="0" collapsed="false">
      <c r="A91" s="15" t="s">
        <v>163</v>
      </c>
      <c r="B91" s="15" t="s">
        <v>25</v>
      </c>
      <c r="C91" s="29" t="n">
        <v>200</v>
      </c>
      <c r="D91" s="29" t="n">
        <v>205</v>
      </c>
      <c r="E91" s="29" t="n">
        <v>205</v>
      </c>
      <c r="F91" s="29" t="n">
        <v>205</v>
      </c>
      <c r="G91" s="29" t="n">
        <v>205</v>
      </c>
    </row>
    <row r="93" customFormat="false" ht="15" hidden="false" customHeight="false" outlineLevel="0" collapsed="false">
      <c r="A93" s="3" t="s">
        <v>164</v>
      </c>
      <c r="B93" s="3" t="s">
        <v>111</v>
      </c>
      <c r="C93" s="28" t="n">
        <f aca="false">CHOOSE(Scenarios!$B$3,C94,C95,C96)</f>
        <v>72</v>
      </c>
      <c r="D93" s="28" t="n">
        <f aca="false">CHOOSE(Scenarios!$B$3,D94,D95,D96)</f>
        <v>72</v>
      </c>
      <c r="E93" s="28" t="n">
        <f aca="false">CHOOSE(Scenarios!$B$3,E94,E95,E96)</f>
        <v>72</v>
      </c>
      <c r="F93" s="28" t="n">
        <f aca="false">CHOOSE(Scenarios!$B$3,F94,F95,F96)</f>
        <v>72</v>
      </c>
      <c r="G93" s="28" t="n">
        <f aca="false">CHOOSE(Scenarios!$B$3,G94,G95,G96)</f>
        <v>72</v>
      </c>
      <c r="H93" s="2" t="s">
        <v>165</v>
      </c>
    </row>
    <row r="94" customFormat="false" ht="15" hidden="false" customHeight="false" outlineLevel="0" collapsed="false">
      <c r="A94" s="15" t="s">
        <v>166</v>
      </c>
      <c r="B94" s="15" t="s">
        <v>23</v>
      </c>
      <c r="C94" s="29" t="n">
        <v>72</v>
      </c>
      <c r="D94" s="29" t="n">
        <v>72</v>
      </c>
      <c r="E94" s="29" t="n">
        <v>72</v>
      </c>
      <c r="F94" s="29" t="n">
        <v>72</v>
      </c>
      <c r="G94" s="29" t="n">
        <v>72</v>
      </c>
    </row>
    <row r="95" customFormat="false" ht="15" hidden="false" customHeight="false" outlineLevel="0" collapsed="false">
      <c r="A95" s="15" t="s">
        <v>166</v>
      </c>
      <c r="B95" s="15" t="s">
        <v>24</v>
      </c>
      <c r="C95" s="29" t="n">
        <v>72</v>
      </c>
      <c r="D95" s="29" t="n">
        <v>70</v>
      </c>
      <c r="E95" s="29" t="n">
        <v>70</v>
      </c>
      <c r="F95" s="29" t="n">
        <v>70</v>
      </c>
      <c r="G95" s="29" t="n">
        <v>70</v>
      </c>
    </row>
    <row r="96" customFormat="false" ht="15" hidden="false" customHeight="false" outlineLevel="0" collapsed="false">
      <c r="A96" s="15" t="s">
        <v>166</v>
      </c>
      <c r="B96" s="15" t="s">
        <v>25</v>
      </c>
      <c r="C96" s="29" t="n">
        <v>72</v>
      </c>
      <c r="D96" s="29" t="n">
        <v>68</v>
      </c>
      <c r="E96" s="29" t="n">
        <v>68</v>
      </c>
      <c r="F96" s="29" t="n">
        <v>68</v>
      </c>
      <c r="G96" s="29" t="n">
        <v>68</v>
      </c>
    </row>
    <row r="98" customFormat="false" ht="15" hidden="false" customHeight="false" outlineLevel="0" collapsed="false">
      <c r="A98" s="24" t="s">
        <v>167</v>
      </c>
      <c r="B98" s="25"/>
      <c r="C98" s="25"/>
      <c r="D98" s="25"/>
      <c r="E98" s="25"/>
      <c r="F98" s="25"/>
      <c r="G98" s="25"/>
      <c r="H98" s="25"/>
    </row>
    <row r="99" customFormat="false" ht="15" hidden="false" customHeight="false" outlineLevel="0" collapsed="false">
      <c r="A99" s="3" t="s">
        <v>168</v>
      </c>
      <c r="B99" s="3" t="s">
        <v>111</v>
      </c>
      <c r="C99" s="27" t="n">
        <f aca="false">CHOOSE(Scenarios!$B$3,C100,C101,C102)</f>
        <v>19</v>
      </c>
      <c r="D99" s="27" t="n">
        <f aca="false">CHOOSE(Scenarios!$B$3,D100,D101,D102)</f>
        <v>2.3</v>
      </c>
      <c r="E99" s="27" t="n">
        <f aca="false">CHOOSE(Scenarios!$B$3,E100,E101,E102)</f>
        <v>2.3</v>
      </c>
      <c r="F99" s="27" t="n">
        <f aca="false">CHOOSE(Scenarios!$B$3,F100,F101,F102)</f>
        <v>2.3</v>
      </c>
      <c r="G99" s="27" t="n">
        <f aca="false">CHOOSE(Scenarios!$B$3,G100,G101,G102)</f>
        <v>2.3</v>
      </c>
      <c r="H99" s="2" t="s">
        <v>169</v>
      </c>
    </row>
    <row r="100" customFormat="false" ht="15" hidden="false" customHeight="false" outlineLevel="0" collapsed="false">
      <c r="A100" s="15" t="s">
        <v>170</v>
      </c>
      <c r="B100" s="15" t="s">
        <v>23</v>
      </c>
      <c r="C100" s="17" t="n">
        <v>19</v>
      </c>
      <c r="D100" s="17" t="n">
        <v>2.3</v>
      </c>
      <c r="E100" s="17" t="n">
        <v>2.3</v>
      </c>
      <c r="F100" s="17" t="n">
        <v>2.3</v>
      </c>
      <c r="G100" s="17" t="n">
        <v>2.3</v>
      </c>
    </row>
    <row r="101" customFormat="false" ht="15" hidden="false" customHeight="false" outlineLevel="0" collapsed="false">
      <c r="A101" s="15" t="s">
        <v>170</v>
      </c>
      <c r="B101" s="15" t="s">
        <v>24</v>
      </c>
      <c r="C101" s="17" t="n">
        <v>19</v>
      </c>
      <c r="D101" s="17" t="n">
        <v>2.3</v>
      </c>
      <c r="E101" s="17" t="n">
        <v>2.3</v>
      </c>
      <c r="F101" s="17" t="n">
        <v>2.3</v>
      </c>
      <c r="G101" s="17" t="n">
        <v>2.3</v>
      </c>
    </row>
    <row r="102" customFormat="false" ht="15" hidden="false" customHeight="false" outlineLevel="0" collapsed="false">
      <c r="A102" s="15" t="s">
        <v>170</v>
      </c>
      <c r="B102" s="15" t="s">
        <v>25</v>
      </c>
      <c r="C102" s="17" t="n">
        <v>19</v>
      </c>
      <c r="D102" s="17" t="n">
        <v>0</v>
      </c>
      <c r="E102" s="17" t="n">
        <v>0</v>
      </c>
      <c r="F102" s="17" t="n">
        <v>0</v>
      </c>
      <c r="G102" s="17" t="n">
        <v>0</v>
      </c>
    </row>
    <row r="104" customFormat="false" ht="15" hidden="false" customHeight="false" outlineLevel="0" collapsed="false">
      <c r="A104" s="3" t="s">
        <v>171</v>
      </c>
      <c r="B104" s="3" t="s">
        <v>111</v>
      </c>
      <c r="C104" s="27" t="n">
        <f aca="false">CHOOSE(Scenarios!$B$3,C105,C106,C107)</f>
        <v>8.7</v>
      </c>
      <c r="D104" s="27" t="n">
        <f aca="false">CHOOSE(Scenarios!$B$3,D105,D106,D107)</f>
        <v>0</v>
      </c>
      <c r="E104" s="27" t="n">
        <f aca="false">CHOOSE(Scenarios!$B$3,E105,E106,E107)</f>
        <v>0</v>
      </c>
      <c r="F104" s="27" t="n">
        <f aca="false">CHOOSE(Scenarios!$B$3,F105,F106,F107)</f>
        <v>0</v>
      </c>
      <c r="G104" s="27" t="n">
        <f aca="false">CHOOSE(Scenarios!$B$3,G105,G106,G107)</f>
        <v>0</v>
      </c>
      <c r="H104" s="2" t="s">
        <v>172</v>
      </c>
    </row>
    <row r="105" customFormat="false" ht="15" hidden="false" customHeight="false" outlineLevel="0" collapsed="false">
      <c r="A105" s="15" t="s">
        <v>173</v>
      </c>
      <c r="B105" s="15" t="s">
        <v>23</v>
      </c>
      <c r="C105" s="17" t="n">
        <v>8.7</v>
      </c>
      <c r="D105" s="17" t="n">
        <v>0</v>
      </c>
      <c r="E105" s="17" t="n">
        <v>0</v>
      </c>
      <c r="F105" s="17" t="n">
        <v>0</v>
      </c>
      <c r="G105" s="17" t="n">
        <v>0</v>
      </c>
    </row>
    <row r="106" customFormat="false" ht="15" hidden="false" customHeight="false" outlineLevel="0" collapsed="false">
      <c r="A106" s="15" t="s">
        <v>173</v>
      </c>
      <c r="B106" s="15" t="s">
        <v>24</v>
      </c>
      <c r="C106" s="17" t="n">
        <v>8.7</v>
      </c>
      <c r="D106" s="17" t="n">
        <v>0</v>
      </c>
      <c r="E106" s="17" t="n">
        <v>0</v>
      </c>
      <c r="F106" s="17" t="n">
        <v>0</v>
      </c>
      <c r="G106" s="17" t="n">
        <v>0</v>
      </c>
    </row>
    <row r="107" customFormat="false" ht="15" hidden="false" customHeight="false" outlineLevel="0" collapsed="false">
      <c r="A107" s="15" t="s">
        <v>173</v>
      </c>
      <c r="B107" s="15" t="s">
        <v>25</v>
      </c>
      <c r="C107" s="17" t="n">
        <v>8.7</v>
      </c>
      <c r="D107" s="17" t="n">
        <v>0</v>
      </c>
      <c r="E107" s="17" t="n">
        <v>0</v>
      </c>
      <c r="F107" s="17" t="n">
        <v>0</v>
      </c>
      <c r="G107" s="17" t="n">
        <v>0</v>
      </c>
    </row>
    <row r="109" customFormat="false" ht="15" hidden="false" customHeight="false" outlineLevel="0" collapsed="false">
      <c r="A109" s="3" t="s">
        <v>174</v>
      </c>
      <c r="B109" s="3" t="s">
        <v>111</v>
      </c>
      <c r="C109" s="27" t="n">
        <f aca="false">CHOOSE(Scenarios!$B$3,C110,C111,C112)</f>
        <v>8</v>
      </c>
      <c r="D109" s="27" t="n">
        <f aca="false">CHOOSE(Scenarios!$B$3,D110,D111,D112)</f>
        <v>6</v>
      </c>
      <c r="E109" s="27" t="n">
        <f aca="false">CHOOSE(Scenarios!$B$3,E110,E111,E112)</f>
        <v>6</v>
      </c>
      <c r="F109" s="27" t="n">
        <f aca="false">CHOOSE(Scenarios!$B$3,F110,F111,F112)</f>
        <v>6</v>
      </c>
      <c r="G109" s="27" t="n">
        <f aca="false">CHOOSE(Scenarios!$B$3,G110,G111,G112)</f>
        <v>6</v>
      </c>
      <c r="H109" s="2" t="s">
        <v>175</v>
      </c>
    </row>
    <row r="110" customFormat="false" ht="15" hidden="false" customHeight="false" outlineLevel="0" collapsed="false">
      <c r="A110" s="15" t="s">
        <v>176</v>
      </c>
      <c r="B110" s="15" t="s">
        <v>23</v>
      </c>
      <c r="C110" s="17" t="n">
        <v>8</v>
      </c>
      <c r="D110" s="17" t="n">
        <v>6</v>
      </c>
      <c r="E110" s="17" t="n">
        <v>6</v>
      </c>
      <c r="F110" s="17" t="n">
        <v>6</v>
      </c>
      <c r="G110" s="17" t="n">
        <v>6</v>
      </c>
    </row>
    <row r="111" customFormat="false" ht="15" hidden="false" customHeight="false" outlineLevel="0" collapsed="false">
      <c r="A111" s="15" t="s">
        <v>176</v>
      </c>
      <c r="B111" s="15" t="s">
        <v>24</v>
      </c>
      <c r="C111" s="17" t="n">
        <v>8</v>
      </c>
      <c r="D111" s="17" t="n">
        <v>6</v>
      </c>
      <c r="E111" s="17" t="n">
        <v>6</v>
      </c>
      <c r="F111" s="17" t="n">
        <v>6</v>
      </c>
      <c r="G111" s="17" t="n">
        <v>6</v>
      </c>
    </row>
    <row r="112" customFormat="false" ht="15" hidden="false" customHeight="false" outlineLevel="0" collapsed="false">
      <c r="A112" s="15" t="s">
        <v>176</v>
      </c>
      <c r="B112" s="15" t="s">
        <v>25</v>
      </c>
      <c r="C112" s="17" t="n">
        <v>8</v>
      </c>
      <c r="D112" s="17" t="n">
        <v>6</v>
      </c>
      <c r="E112" s="17" t="n">
        <v>6</v>
      </c>
      <c r="F112" s="17" t="n">
        <v>6</v>
      </c>
      <c r="G112" s="17" t="n">
        <v>6</v>
      </c>
    </row>
    <row r="114" customFormat="false" ht="15" hidden="false" customHeight="false" outlineLevel="0" collapsed="false">
      <c r="A114" s="3" t="s">
        <v>177</v>
      </c>
      <c r="B114" s="3" t="s">
        <v>111</v>
      </c>
      <c r="C114" s="27" t="n">
        <f aca="false">CHOOSE(Scenarios!$B$3,C115,C116,C117)</f>
        <v>200</v>
      </c>
      <c r="D114" s="27" t="n">
        <f aca="false">CHOOSE(Scenarios!$B$3,D115,D116,D117)</f>
        <v>200</v>
      </c>
      <c r="E114" s="27" t="n">
        <f aca="false">CHOOSE(Scenarios!$B$3,E115,E116,E117)</f>
        <v>200</v>
      </c>
      <c r="F114" s="27" t="n">
        <f aca="false">CHOOSE(Scenarios!$B$3,F115,F116,F117)</f>
        <v>200</v>
      </c>
      <c r="G114" s="27" t="n">
        <f aca="false">CHOOSE(Scenarios!$B$3,G115,G116,G117)</f>
        <v>200</v>
      </c>
      <c r="H114" s="2" t="s">
        <v>178</v>
      </c>
    </row>
    <row r="115" customFormat="false" ht="15" hidden="false" customHeight="false" outlineLevel="0" collapsed="false">
      <c r="A115" s="15" t="s">
        <v>179</v>
      </c>
      <c r="B115" s="15" t="s">
        <v>23</v>
      </c>
      <c r="C115" s="17" t="n">
        <v>200</v>
      </c>
      <c r="D115" s="17" t="n">
        <v>200</v>
      </c>
      <c r="E115" s="17" t="n">
        <v>200</v>
      </c>
      <c r="F115" s="17" t="n">
        <v>200</v>
      </c>
      <c r="G115" s="17" t="n">
        <v>200</v>
      </c>
    </row>
    <row r="116" customFormat="false" ht="15" hidden="false" customHeight="false" outlineLevel="0" collapsed="false">
      <c r="A116" s="15" t="s">
        <v>179</v>
      </c>
      <c r="B116" s="15" t="s">
        <v>24</v>
      </c>
      <c r="C116" s="17" t="n">
        <v>200</v>
      </c>
      <c r="D116" s="17" t="n">
        <v>200</v>
      </c>
      <c r="E116" s="17" t="n">
        <v>200</v>
      </c>
      <c r="F116" s="17" t="n">
        <v>200</v>
      </c>
      <c r="G116" s="17" t="n">
        <v>200</v>
      </c>
    </row>
    <row r="117" customFormat="false" ht="15" hidden="false" customHeight="false" outlineLevel="0" collapsed="false">
      <c r="A117" s="15" t="s">
        <v>179</v>
      </c>
      <c r="B117" s="15" t="s">
        <v>25</v>
      </c>
      <c r="C117" s="17" t="n">
        <v>200</v>
      </c>
      <c r="D117" s="17" t="n">
        <v>200</v>
      </c>
      <c r="E117" s="17" t="n">
        <v>200</v>
      </c>
      <c r="F117" s="17" t="n">
        <v>200</v>
      </c>
      <c r="G117" s="17" t="n">
        <v>200</v>
      </c>
    </row>
    <row r="119" customFormat="false" ht="15" hidden="false" customHeight="false" outlineLevel="0" collapsed="false">
      <c r="A119" s="3" t="s">
        <v>180</v>
      </c>
      <c r="B119" s="3" t="s">
        <v>111</v>
      </c>
      <c r="C119" s="26" t="n">
        <f aca="false">CHOOSE(Scenarios!$B$3,C120,C121,C122)</f>
        <v>1</v>
      </c>
      <c r="D119" s="26" t="n">
        <f aca="false">CHOOSE(Scenarios!$B$3,D120,D121,D122)</f>
        <v>1</v>
      </c>
      <c r="E119" s="26" t="n">
        <f aca="false">CHOOSE(Scenarios!$B$3,E120,E121,E122)</f>
        <v>1</v>
      </c>
      <c r="F119" s="26" t="n">
        <f aca="false">CHOOSE(Scenarios!$B$3,F120,F121,F122)</f>
        <v>1</v>
      </c>
      <c r="G119" s="26" t="n">
        <f aca="false">CHOOSE(Scenarios!$B$3,G120,G121,G122)</f>
        <v>1</v>
      </c>
      <c r="H119" s="2" t="s">
        <v>181</v>
      </c>
    </row>
    <row r="120" customFormat="false" ht="15" hidden="false" customHeight="false" outlineLevel="0" collapsed="false">
      <c r="A120" s="15" t="s">
        <v>182</v>
      </c>
      <c r="B120" s="15" t="s">
        <v>23</v>
      </c>
      <c r="C120" s="19" t="n">
        <v>1</v>
      </c>
      <c r="D120" s="19" t="n">
        <v>1</v>
      </c>
      <c r="E120" s="19" t="n">
        <v>1</v>
      </c>
      <c r="F120" s="19" t="n">
        <v>1</v>
      </c>
      <c r="G120" s="19" t="n">
        <v>1</v>
      </c>
    </row>
    <row r="121" customFormat="false" ht="15" hidden="false" customHeight="false" outlineLevel="0" collapsed="false">
      <c r="A121" s="15" t="s">
        <v>182</v>
      </c>
      <c r="B121" s="15" t="s">
        <v>24</v>
      </c>
      <c r="C121" s="19" t="n">
        <v>1</v>
      </c>
      <c r="D121" s="19" t="n">
        <v>1</v>
      </c>
      <c r="E121" s="19" t="n">
        <v>1</v>
      </c>
      <c r="F121" s="19" t="n">
        <v>1</v>
      </c>
      <c r="G121" s="19" t="n">
        <v>1</v>
      </c>
    </row>
    <row r="122" customFormat="false" ht="15" hidden="false" customHeight="false" outlineLevel="0" collapsed="false">
      <c r="A122" s="15" t="s">
        <v>182</v>
      </c>
      <c r="B122" s="15" t="s">
        <v>25</v>
      </c>
      <c r="C122" s="19" t="n">
        <v>1</v>
      </c>
      <c r="D122" s="19" t="n">
        <v>1</v>
      </c>
      <c r="E122" s="19" t="n">
        <v>1</v>
      </c>
      <c r="F122" s="19" t="n">
        <v>1</v>
      </c>
      <c r="G122" s="19" t="n">
        <v>1</v>
      </c>
    </row>
    <row r="124" customFormat="false" ht="15" hidden="false" customHeight="false" outlineLevel="0" collapsed="false">
      <c r="A124" s="3" t="s">
        <v>183</v>
      </c>
      <c r="B124" s="3" t="s">
        <v>111</v>
      </c>
      <c r="C124" s="26" t="n">
        <f aca="false">CHOOSE(Scenarios!$B$3,C125,C126,C127)</f>
        <v>0.04</v>
      </c>
      <c r="D124" s="26" t="n">
        <f aca="false">CHOOSE(Scenarios!$B$3,D125,D126,D127)</f>
        <v>0.034</v>
      </c>
      <c r="E124" s="26" t="n">
        <f aca="false">CHOOSE(Scenarios!$B$3,E125,E126,E127)</f>
        <v>0.0325</v>
      </c>
      <c r="F124" s="26" t="n">
        <f aca="false">CHOOSE(Scenarios!$B$3,F125,F126,F127)</f>
        <v>0.0325</v>
      </c>
      <c r="G124" s="26" t="n">
        <f aca="false">CHOOSE(Scenarios!$B$3,G125,G126,G127)</f>
        <v>0.0325</v>
      </c>
      <c r="H124" s="2" t="s">
        <v>184</v>
      </c>
    </row>
    <row r="125" customFormat="false" ht="15" hidden="false" customHeight="false" outlineLevel="0" collapsed="false">
      <c r="A125" s="15" t="s">
        <v>185</v>
      </c>
      <c r="B125" s="15" t="s">
        <v>23</v>
      </c>
      <c r="C125" s="19" t="n">
        <v>0.04</v>
      </c>
      <c r="D125" s="19" t="n">
        <v>0.034</v>
      </c>
      <c r="E125" s="19" t="n">
        <v>0.0325</v>
      </c>
      <c r="F125" s="19" t="n">
        <v>0.0325</v>
      </c>
      <c r="G125" s="19" t="n">
        <v>0.0325</v>
      </c>
    </row>
    <row r="126" customFormat="false" ht="15" hidden="false" customHeight="false" outlineLevel="0" collapsed="false">
      <c r="A126" s="15" t="s">
        <v>185</v>
      </c>
      <c r="B126" s="15" t="s">
        <v>24</v>
      </c>
      <c r="C126" s="19" t="n">
        <v>0.04</v>
      </c>
      <c r="D126" s="19" t="n">
        <v>0.034</v>
      </c>
      <c r="E126" s="19" t="n">
        <v>0.0325</v>
      </c>
      <c r="F126" s="19" t="n">
        <v>0.0325</v>
      </c>
      <c r="G126" s="19" t="n">
        <v>0.0325</v>
      </c>
    </row>
    <row r="127" customFormat="false" ht="15" hidden="false" customHeight="false" outlineLevel="0" collapsed="false">
      <c r="A127" s="15" t="s">
        <v>185</v>
      </c>
      <c r="B127" s="15" t="s">
        <v>25</v>
      </c>
      <c r="C127" s="19" t="n">
        <v>0.04</v>
      </c>
      <c r="D127" s="19" t="n">
        <v>0.034</v>
      </c>
      <c r="E127" s="19" t="n">
        <v>0.0325</v>
      </c>
      <c r="F127" s="19" t="n">
        <v>0.0325</v>
      </c>
      <c r="G127" s="19" t="n">
        <v>0.0325</v>
      </c>
    </row>
    <row r="129" customFormat="false" ht="15" hidden="false" customHeight="false" outlineLevel="0" collapsed="false">
      <c r="A129" s="3" t="s">
        <v>186</v>
      </c>
      <c r="B129" s="3" t="s">
        <v>111</v>
      </c>
      <c r="C129" s="30" t="n">
        <f aca="false">CHOOSE(Scenarios!$B$3,C130,C131,C132)</f>
        <v>1</v>
      </c>
      <c r="D129" s="30" t="n">
        <f aca="false">CHOOSE(Scenarios!$B$3,D130,D131,D132)</f>
        <v>1</v>
      </c>
      <c r="E129" s="30" t="n">
        <f aca="false">CHOOSE(Scenarios!$B$3,E130,E131,E132)</f>
        <v>1</v>
      </c>
      <c r="F129" s="30" t="n">
        <f aca="false">CHOOSE(Scenarios!$B$3,F130,F131,F132)</f>
        <v>1</v>
      </c>
      <c r="G129" s="30" t="n">
        <f aca="false">CHOOSE(Scenarios!$B$3,G130,G131,G132)</f>
        <v>1</v>
      </c>
      <c r="H129" s="2" t="s">
        <v>187</v>
      </c>
    </row>
    <row r="130" customFormat="false" ht="15" hidden="false" customHeight="false" outlineLevel="0" collapsed="false">
      <c r="A130" s="15" t="s">
        <v>188</v>
      </c>
      <c r="B130" s="15" t="s">
        <v>23</v>
      </c>
      <c r="C130" s="31" t="n">
        <v>1</v>
      </c>
      <c r="D130" s="31" t="n">
        <v>1</v>
      </c>
      <c r="E130" s="31" t="n">
        <v>1</v>
      </c>
      <c r="F130" s="31" t="n">
        <v>1</v>
      </c>
      <c r="G130" s="31" t="n">
        <v>1</v>
      </c>
    </row>
    <row r="131" customFormat="false" ht="15" hidden="false" customHeight="false" outlineLevel="0" collapsed="false">
      <c r="A131" s="15" t="s">
        <v>188</v>
      </c>
      <c r="B131" s="15" t="s">
        <v>24</v>
      </c>
      <c r="C131" s="31" t="n">
        <v>1</v>
      </c>
      <c r="D131" s="31" t="n">
        <v>1</v>
      </c>
      <c r="E131" s="31" t="n">
        <v>1</v>
      </c>
      <c r="F131" s="31" t="n">
        <v>1</v>
      </c>
      <c r="G131" s="31" t="n">
        <v>1</v>
      </c>
    </row>
    <row r="132" customFormat="false" ht="15" hidden="false" customHeight="false" outlineLevel="0" collapsed="false">
      <c r="A132" s="15" t="s">
        <v>188</v>
      </c>
      <c r="B132" s="15" t="s">
        <v>25</v>
      </c>
      <c r="C132" s="31" t="n">
        <v>1</v>
      </c>
      <c r="D132" s="31" t="n">
        <v>1</v>
      </c>
      <c r="E132" s="31" t="n">
        <v>1</v>
      </c>
      <c r="F132" s="31" t="n">
        <v>0</v>
      </c>
      <c r="G132" s="31" t="n">
        <v>0</v>
      </c>
    </row>
    <row r="134" customFormat="false" ht="15" hidden="false" customHeight="false" outlineLevel="0" collapsed="false">
      <c r="A134" s="3" t="s">
        <v>189</v>
      </c>
      <c r="B134" s="3" t="s">
        <v>111</v>
      </c>
      <c r="C134" s="26" t="n">
        <f aca="false">CHOOSE(Scenarios!$B$3,C135,C136,C137)</f>
        <v>0.09</v>
      </c>
      <c r="D134" s="26" t="n">
        <f aca="false">CHOOSE(Scenarios!$B$3,D135,D136,D137)</f>
        <v>0.09</v>
      </c>
      <c r="E134" s="26" t="n">
        <f aca="false">CHOOSE(Scenarios!$B$3,E135,E136,E137)</f>
        <v>0.09</v>
      </c>
      <c r="F134" s="26" t="n">
        <f aca="false">CHOOSE(Scenarios!$B$3,F135,F136,F137)</f>
        <v>0.09</v>
      </c>
      <c r="G134" s="26" t="n">
        <f aca="false">CHOOSE(Scenarios!$B$3,G135,G136,G137)</f>
        <v>0.09</v>
      </c>
      <c r="H134" s="2" t="s">
        <v>190</v>
      </c>
    </row>
    <row r="135" customFormat="false" ht="15" hidden="false" customHeight="false" outlineLevel="0" collapsed="false">
      <c r="A135" s="15" t="s">
        <v>191</v>
      </c>
      <c r="B135" s="15" t="s">
        <v>23</v>
      </c>
      <c r="C135" s="19" t="n">
        <v>0.09</v>
      </c>
      <c r="D135" s="19" t="n">
        <v>0.09</v>
      </c>
      <c r="E135" s="19" t="n">
        <v>0.09</v>
      </c>
      <c r="F135" s="19" t="n">
        <v>0.09</v>
      </c>
      <c r="G135" s="19" t="n">
        <v>0.09</v>
      </c>
    </row>
    <row r="136" customFormat="false" ht="15" hidden="false" customHeight="false" outlineLevel="0" collapsed="false">
      <c r="A136" s="15" t="s">
        <v>191</v>
      </c>
      <c r="B136" s="15" t="s">
        <v>24</v>
      </c>
      <c r="C136" s="19" t="n">
        <v>0.11</v>
      </c>
      <c r="D136" s="19" t="n">
        <v>0.11</v>
      </c>
      <c r="E136" s="19" t="n">
        <v>0.11</v>
      </c>
      <c r="F136" s="19" t="n">
        <v>0.11</v>
      </c>
      <c r="G136" s="19" t="n">
        <v>0.11</v>
      </c>
    </row>
    <row r="137" customFormat="false" ht="15" hidden="false" customHeight="false" outlineLevel="0" collapsed="false">
      <c r="A137" s="15" t="s">
        <v>191</v>
      </c>
      <c r="B137" s="15" t="s">
        <v>25</v>
      </c>
      <c r="C137" s="19" t="n">
        <v>0.13</v>
      </c>
      <c r="D137" s="19" t="n">
        <v>0.13</v>
      </c>
      <c r="E137" s="19" t="n">
        <v>0.13</v>
      </c>
      <c r="F137" s="19" t="n">
        <v>0.13</v>
      </c>
      <c r="G137" s="19" t="n">
        <v>0.13</v>
      </c>
    </row>
    <row r="139" customFormat="false" ht="15" hidden="false" customHeight="false" outlineLevel="0" collapsed="false">
      <c r="A139" s="3" t="s">
        <v>192</v>
      </c>
      <c r="B139" s="3" t="s">
        <v>111</v>
      </c>
      <c r="C139" s="26" t="n">
        <f aca="false">CHOOSE(Scenarios!$B$3,C140,C141,C142)</f>
        <v>0.035</v>
      </c>
      <c r="D139" s="26" t="n">
        <f aca="false">CHOOSE(Scenarios!$B$3,D140,D141,D142)</f>
        <v>0.03</v>
      </c>
      <c r="E139" s="26" t="n">
        <f aca="false">CHOOSE(Scenarios!$B$3,E140,E141,E142)</f>
        <v>0.0275</v>
      </c>
      <c r="F139" s="26" t="n">
        <f aca="false">CHOOSE(Scenarios!$B$3,F140,F141,F142)</f>
        <v>0.0275</v>
      </c>
      <c r="G139" s="26" t="n">
        <f aca="false">CHOOSE(Scenarios!$B$3,G140,G141,G142)</f>
        <v>0.0275</v>
      </c>
      <c r="H139" s="2" t="s">
        <v>193</v>
      </c>
    </row>
    <row r="140" customFormat="false" ht="15" hidden="false" customHeight="false" outlineLevel="0" collapsed="false">
      <c r="A140" s="15" t="s">
        <v>194</v>
      </c>
      <c r="B140" s="15" t="s">
        <v>23</v>
      </c>
      <c r="C140" s="19" t="n">
        <v>0.035</v>
      </c>
      <c r="D140" s="19" t="n">
        <v>0.03</v>
      </c>
      <c r="E140" s="19" t="n">
        <v>0.0275</v>
      </c>
      <c r="F140" s="19" t="n">
        <v>0.0275</v>
      </c>
      <c r="G140" s="19" t="n">
        <v>0.0275</v>
      </c>
    </row>
    <row r="141" customFormat="false" ht="15" hidden="false" customHeight="false" outlineLevel="0" collapsed="false">
      <c r="A141" s="15" t="s">
        <v>194</v>
      </c>
      <c r="B141" s="15" t="s">
        <v>24</v>
      </c>
      <c r="C141" s="19" t="n">
        <v>0.035</v>
      </c>
      <c r="D141" s="19" t="n">
        <v>0.03</v>
      </c>
      <c r="E141" s="19" t="n">
        <v>0.0275</v>
      </c>
      <c r="F141" s="19" t="n">
        <v>0.0275</v>
      </c>
      <c r="G141" s="19" t="n">
        <v>0.0275</v>
      </c>
    </row>
    <row r="142" customFormat="false" ht="15" hidden="false" customHeight="false" outlineLevel="0" collapsed="false">
      <c r="A142" s="15" t="s">
        <v>194</v>
      </c>
      <c r="B142" s="15" t="s">
        <v>25</v>
      </c>
      <c r="C142" s="19" t="n">
        <v>0.035</v>
      </c>
      <c r="D142" s="19" t="n">
        <v>0.03</v>
      </c>
      <c r="E142" s="19" t="n">
        <v>0.0275</v>
      </c>
      <c r="F142" s="19" t="n">
        <v>0.0275</v>
      </c>
      <c r="G142" s="19" t="n">
        <v>0.0275</v>
      </c>
    </row>
    <row r="144" customFormat="false" ht="15" hidden="false" customHeight="false" outlineLevel="0" collapsed="false">
      <c r="A144" s="3" t="s">
        <v>195</v>
      </c>
      <c r="B144" s="3" t="s">
        <v>111</v>
      </c>
      <c r="C144" s="27" t="n">
        <f aca="false">CHOOSE(Scenarios!$B$3,C145,C146,C147)</f>
        <v>7</v>
      </c>
      <c r="D144" s="27" t="n">
        <f aca="false">CHOOSE(Scenarios!$B$3,D145,D146,D147)</f>
        <v>6</v>
      </c>
      <c r="E144" s="27" t="n">
        <f aca="false">CHOOSE(Scenarios!$B$3,E145,E146,E147)</f>
        <v>3</v>
      </c>
      <c r="F144" s="27" t="n">
        <f aca="false">CHOOSE(Scenarios!$B$3,F145,F146,F147)</f>
        <v>2</v>
      </c>
      <c r="G144" s="27" t="n">
        <f aca="false">CHOOSE(Scenarios!$B$3,G145,G146,G147)</f>
        <v>0.6</v>
      </c>
      <c r="H144" s="2" t="s">
        <v>196</v>
      </c>
    </row>
    <row r="145" customFormat="false" ht="15" hidden="false" customHeight="false" outlineLevel="0" collapsed="false">
      <c r="A145" s="15" t="s">
        <v>197</v>
      </c>
      <c r="B145" s="15" t="s">
        <v>23</v>
      </c>
      <c r="C145" s="17" t="n">
        <v>7</v>
      </c>
      <c r="D145" s="17" t="n">
        <v>6</v>
      </c>
      <c r="E145" s="17" t="n">
        <v>3</v>
      </c>
      <c r="F145" s="17" t="n">
        <v>2</v>
      </c>
      <c r="G145" s="17" t="n">
        <v>0.6</v>
      </c>
    </row>
    <row r="146" customFormat="false" ht="15" hidden="false" customHeight="false" outlineLevel="0" collapsed="false">
      <c r="A146" s="15" t="s">
        <v>197</v>
      </c>
      <c r="B146" s="15" t="s">
        <v>24</v>
      </c>
      <c r="C146" s="17" t="n">
        <v>7</v>
      </c>
      <c r="D146" s="17" t="n">
        <v>6</v>
      </c>
      <c r="E146" s="17" t="n">
        <v>3</v>
      </c>
      <c r="F146" s="17" t="n">
        <v>2</v>
      </c>
      <c r="G146" s="17" t="n">
        <v>0.6</v>
      </c>
    </row>
    <row r="147" customFormat="false" ht="15" hidden="false" customHeight="false" outlineLevel="0" collapsed="false">
      <c r="A147" s="15" t="s">
        <v>197</v>
      </c>
      <c r="B147" s="15" t="s">
        <v>25</v>
      </c>
      <c r="C147" s="17" t="n">
        <v>7</v>
      </c>
      <c r="D147" s="17" t="n">
        <v>6</v>
      </c>
      <c r="E147" s="17" t="n">
        <v>3</v>
      </c>
      <c r="F147" s="17" t="n">
        <v>2</v>
      </c>
      <c r="G147" s="17" t="n">
        <v>0.6</v>
      </c>
    </row>
    <row r="149" customFormat="false" ht="15" hidden="false" customHeight="false" outlineLevel="0" collapsed="false">
      <c r="A149" s="3" t="s">
        <v>198</v>
      </c>
      <c r="B149" s="3" t="s">
        <v>111</v>
      </c>
      <c r="C149" s="32" t="n">
        <f aca="false">CHOOSE(Scenarios!$B$3,C150,C151,C152)</f>
        <v>4.75</v>
      </c>
      <c r="D149" s="32" t="n">
        <f aca="false">CHOOSE(Scenarios!$B$3,D150,D151,D152)</f>
        <v>4.75</v>
      </c>
      <c r="E149" s="32" t="n">
        <f aca="false">CHOOSE(Scenarios!$B$3,E150,E151,E152)</f>
        <v>4.75</v>
      </c>
      <c r="F149" s="32" t="n">
        <f aca="false">CHOOSE(Scenarios!$B$3,F150,F151,F152)</f>
        <v>4.75</v>
      </c>
      <c r="G149" s="32" t="n">
        <f aca="false">CHOOSE(Scenarios!$B$3,G150,G151,G152)</f>
        <v>4.75</v>
      </c>
      <c r="H149" s="2" t="s">
        <v>199</v>
      </c>
    </row>
    <row r="150" customFormat="false" ht="15" hidden="false" customHeight="false" outlineLevel="0" collapsed="false">
      <c r="A150" s="15" t="s">
        <v>200</v>
      </c>
      <c r="B150" s="15" t="s">
        <v>23</v>
      </c>
      <c r="C150" s="33" t="n">
        <v>4.75</v>
      </c>
      <c r="D150" s="33" t="n">
        <v>4.75</v>
      </c>
      <c r="E150" s="33" t="n">
        <v>4.75</v>
      </c>
      <c r="F150" s="33" t="n">
        <v>4.75</v>
      </c>
      <c r="G150" s="33" t="n">
        <v>4.75</v>
      </c>
    </row>
    <row r="151" customFormat="false" ht="15" hidden="false" customHeight="false" outlineLevel="0" collapsed="false">
      <c r="A151" s="15" t="s">
        <v>200</v>
      </c>
      <c r="B151" s="15" t="s">
        <v>24</v>
      </c>
      <c r="C151" s="33" t="n">
        <v>4.75</v>
      </c>
      <c r="D151" s="33" t="n">
        <v>4.75</v>
      </c>
      <c r="E151" s="33" t="n">
        <v>4.75</v>
      </c>
      <c r="F151" s="33" t="n">
        <v>4.75</v>
      </c>
      <c r="G151" s="33" t="n">
        <v>4.75</v>
      </c>
    </row>
    <row r="152" customFormat="false" ht="15" hidden="false" customHeight="false" outlineLevel="0" collapsed="false">
      <c r="A152" s="15" t="s">
        <v>200</v>
      </c>
      <c r="B152" s="15" t="s">
        <v>25</v>
      </c>
      <c r="C152" s="33" t="n">
        <v>4.75</v>
      </c>
      <c r="D152" s="33" t="n">
        <v>4.75</v>
      </c>
      <c r="E152" s="33" t="n">
        <v>4.75</v>
      </c>
      <c r="F152" s="33" t="n">
        <v>4.75</v>
      </c>
      <c r="G152" s="33" t="n">
        <v>4.75</v>
      </c>
    </row>
    <row r="154" customFormat="false" ht="15" hidden="false" customHeight="false" outlineLevel="0" collapsed="false">
      <c r="A154" s="3" t="s">
        <v>201</v>
      </c>
      <c r="B154" s="3" t="s">
        <v>111</v>
      </c>
      <c r="C154" s="34" t="n">
        <f aca="false">CHOOSE(Scenarios!$B$3,C155,C156,C157)</f>
        <v>6</v>
      </c>
      <c r="D154" s="34" t="n">
        <f aca="false">CHOOSE(Scenarios!$B$3,D155,D156,D157)</f>
        <v>6</v>
      </c>
      <c r="E154" s="34" t="n">
        <f aca="false">CHOOSE(Scenarios!$B$3,E155,E156,E157)</f>
        <v>6</v>
      </c>
      <c r="F154" s="34" t="n">
        <f aca="false">CHOOSE(Scenarios!$B$3,F155,F156,F157)</f>
        <v>6</v>
      </c>
      <c r="G154" s="34" t="n">
        <f aca="false">CHOOSE(Scenarios!$B$3,G155,G156,G157)</f>
        <v>6</v>
      </c>
      <c r="H154" s="2" t="s">
        <v>202</v>
      </c>
    </row>
    <row r="155" customFormat="false" ht="15" hidden="false" customHeight="false" outlineLevel="0" collapsed="false">
      <c r="A155" s="15" t="s">
        <v>203</v>
      </c>
      <c r="B155" s="15" t="s">
        <v>23</v>
      </c>
      <c r="C155" s="35" t="n">
        <v>6</v>
      </c>
      <c r="D155" s="35" t="n">
        <v>6</v>
      </c>
      <c r="E155" s="35" t="n">
        <v>6</v>
      </c>
      <c r="F155" s="35" t="n">
        <v>6</v>
      </c>
      <c r="G155" s="35" t="n">
        <v>6</v>
      </c>
    </row>
    <row r="156" customFormat="false" ht="15" hidden="false" customHeight="false" outlineLevel="0" collapsed="false">
      <c r="A156" s="15" t="s">
        <v>203</v>
      </c>
      <c r="B156" s="15" t="s">
        <v>24</v>
      </c>
      <c r="C156" s="35" t="n">
        <v>5.5</v>
      </c>
      <c r="D156" s="35" t="n">
        <v>5.5</v>
      </c>
      <c r="E156" s="35" t="n">
        <v>5.5</v>
      </c>
      <c r="F156" s="35" t="n">
        <v>5.5</v>
      </c>
      <c r="G156" s="35" t="n">
        <v>5.5</v>
      </c>
    </row>
    <row r="157" customFormat="false" ht="15" hidden="false" customHeight="false" outlineLevel="0" collapsed="false">
      <c r="A157" s="15" t="s">
        <v>203</v>
      </c>
      <c r="B157" s="15" t="s">
        <v>25</v>
      </c>
      <c r="C157" s="35" t="n">
        <v>5</v>
      </c>
      <c r="D157" s="35" t="n">
        <v>5</v>
      </c>
      <c r="E157" s="35" t="n">
        <v>5</v>
      </c>
      <c r="F157" s="35" t="n">
        <v>5</v>
      </c>
      <c r="G157" s="35" t="n">
        <v>5</v>
      </c>
    </row>
    <row r="159" customFormat="false" ht="15" hidden="false" customHeight="false" outlineLevel="0" collapsed="false">
      <c r="A159" s="24" t="s">
        <v>204</v>
      </c>
      <c r="B159" s="25"/>
      <c r="C159" s="25"/>
      <c r="D159" s="25"/>
      <c r="E159" s="25"/>
      <c r="F159" s="25"/>
      <c r="G159" s="25"/>
      <c r="H159" s="25"/>
    </row>
    <row r="160" customFormat="false" ht="15" hidden="false" customHeight="false" outlineLevel="0" collapsed="false">
      <c r="A160" s="8" t="s">
        <v>205</v>
      </c>
      <c r="B160" s="15" t="s">
        <v>206</v>
      </c>
      <c r="C160" s="17" t="n">
        <v>128.4</v>
      </c>
      <c r="D160" s="17" t="n">
        <v>0</v>
      </c>
      <c r="E160" s="17" t="n">
        <v>0</v>
      </c>
      <c r="F160" s="17" t="n">
        <v>0</v>
      </c>
      <c r="G160" s="17" t="n">
        <v>0</v>
      </c>
      <c r="H160" s="2" t="s">
        <v>207</v>
      </c>
    </row>
    <row r="161" customFormat="false" ht="15" hidden="false" customHeight="false" outlineLevel="0" collapsed="false">
      <c r="A161" s="8" t="s">
        <v>208</v>
      </c>
      <c r="B161" s="15" t="s">
        <v>206</v>
      </c>
      <c r="C161" s="17" t="n">
        <v>15.4</v>
      </c>
      <c r="D161" s="17" t="n">
        <v>0</v>
      </c>
      <c r="E161" s="17" t="n">
        <v>0</v>
      </c>
      <c r="F161" s="17" t="n">
        <v>0</v>
      </c>
      <c r="G161" s="17" t="n">
        <v>0</v>
      </c>
      <c r="H161" s="2" t="s">
        <v>209</v>
      </c>
    </row>
    <row r="162" customFormat="false" ht="15" hidden="false" customHeight="false" outlineLevel="0" collapsed="false">
      <c r="A162" s="8" t="s">
        <v>210</v>
      </c>
      <c r="B162" s="15" t="s">
        <v>206</v>
      </c>
      <c r="C162" s="17" t="n">
        <v>34.5</v>
      </c>
      <c r="D162" s="17" t="n">
        <v>0</v>
      </c>
      <c r="E162" s="17" t="n">
        <v>0</v>
      </c>
      <c r="F162" s="17" t="n">
        <v>0</v>
      </c>
      <c r="G162" s="17" t="n">
        <v>0</v>
      </c>
      <c r="H162" s="2" t="s">
        <v>211</v>
      </c>
    </row>
    <row r="163" customFormat="false" ht="15" hidden="false" customHeight="false" outlineLevel="0" collapsed="false">
      <c r="A163" s="8" t="s">
        <v>212</v>
      </c>
      <c r="B163" s="15" t="s">
        <v>206</v>
      </c>
      <c r="C163" s="17" t="n">
        <v>5.2</v>
      </c>
      <c r="D163" s="17" t="n">
        <v>0</v>
      </c>
      <c r="E163" s="17" t="n">
        <v>0</v>
      </c>
      <c r="F163" s="17" t="n">
        <v>0</v>
      </c>
      <c r="G163" s="17" t="n">
        <v>0</v>
      </c>
      <c r="H163" s="2" t="s">
        <v>211</v>
      </c>
    </row>
    <row r="164" customFormat="false" ht="15" hidden="false" customHeight="false" outlineLevel="0" collapsed="false">
      <c r="A164" s="8" t="s">
        <v>213</v>
      </c>
      <c r="B164" s="15" t="s">
        <v>206</v>
      </c>
      <c r="C164" s="17" t="n">
        <v>89</v>
      </c>
      <c r="D164" s="17" t="n">
        <v>0</v>
      </c>
      <c r="E164" s="17" t="n">
        <v>0</v>
      </c>
      <c r="F164" s="17" t="n">
        <v>0</v>
      </c>
      <c r="G164" s="17" t="n">
        <v>0</v>
      </c>
      <c r="H164" s="2" t="s">
        <v>211</v>
      </c>
    </row>
    <row r="165" customFormat="false" ht="15" hidden="false" customHeight="false" outlineLevel="0" collapsed="false">
      <c r="A165" s="8" t="s">
        <v>214</v>
      </c>
      <c r="B165" s="15" t="s">
        <v>206</v>
      </c>
      <c r="C165" s="17" t="n">
        <v>21.4</v>
      </c>
      <c r="D165" s="17" t="n">
        <v>0</v>
      </c>
      <c r="E165" s="17" t="n">
        <v>0</v>
      </c>
      <c r="F165" s="17" t="n">
        <v>0</v>
      </c>
      <c r="G165" s="17" t="n">
        <v>0</v>
      </c>
      <c r="H165" s="2" t="s">
        <v>215</v>
      </c>
    </row>
    <row r="166" customFormat="false" ht="15" hidden="false" customHeight="false" outlineLevel="0" collapsed="false">
      <c r="A166" s="8" t="s">
        <v>216</v>
      </c>
      <c r="B166" s="15" t="s">
        <v>206</v>
      </c>
      <c r="C166" s="17" t="n">
        <v>21.9</v>
      </c>
      <c r="D166" s="17" t="n">
        <v>0</v>
      </c>
      <c r="E166" s="17" t="n">
        <v>0</v>
      </c>
      <c r="F166" s="17" t="n">
        <v>0</v>
      </c>
      <c r="G166" s="17" t="n">
        <v>0</v>
      </c>
      <c r="H166" s="2" t="s">
        <v>211</v>
      </c>
    </row>
    <row r="167" customFormat="false" ht="15" hidden="false" customHeight="false" outlineLevel="0" collapsed="false">
      <c r="A167" s="8" t="s">
        <v>217</v>
      </c>
      <c r="B167" s="15" t="s">
        <v>206</v>
      </c>
      <c r="C167" s="17" t="n">
        <v>38.1</v>
      </c>
      <c r="D167" s="17" t="n">
        <v>0</v>
      </c>
      <c r="E167" s="17" t="n">
        <v>0</v>
      </c>
      <c r="F167" s="17" t="n">
        <v>0</v>
      </c>
      <c r="G167" s="17" t="n">
        <v>0</v>
      </c>
      <c r="H167" s="2" t="s">
        <v>218</v>
      </c>
    </row>
    <row r="168" customFormat="false" ht="15" hidden="false" customHeight="false" outlineLevel="0" collapsed="false">
      <c r="A168" s="8" t="s">
        <v>219</v>
      </c>
      <c r="B168" s="15" t="s">
        <v>206</v>
      </c>
      <c r="C168" s="36" t="n">
        <f aca="false">C160+C165+C166+C167-C161-C162-C163-C164</f>
        <v>65.7</v>
      </c>
      <c r="D168" s="36" t="n">
        <f aca="false">D160+D165+D166+D167-D161-D162-D163-D164</f>
        <v>0</v>
      </c>
      <c r="E168" s="36" t="n">
        <f aca="false">E160+E165+E166+E167-E161-E162-E163-E164</f>
        <v>0</v>
      </c>
      <c r="F168" s="36" t="n">
        <f aca="false">F160+F165+F166+F167-F161-F162-F163-F164</f>
        <v>0</v>
      </c>
      <c r="G168" s="36" t="n">
        <f aca="false">G160+G165+G166+G167-G161-G162-G163-G164</f>
        <v>0</v>
      </c>
      <c r="H168" s="2" t="s">
        <v>220</v>
      </c>
    </row>
    <row r="170" customFormat="false" ht="15" hidden="false" customHeight="false" outlineLevel="0" collapsed="false">
      <c r="A170" s="2" t="s">
        <v>221</v>
      </c>
    </row>
    <row r="171" customFormat="false" ht="15" hidden="false" customHeight="false" outlineLevel="0" collapsed="false">
      <c r="A171" s="2" t="s">
        <v>222</v>
      </c>
    </row>
    <row r="172" customFormat="false" ht="15" hidden="false" customHeight="false" outlineLevel="0" collapsed="false">
      <c r="A172" s="8" t="s">
        <v>223</v>
      </c>
      <c r="B172" s="15" t="s">
        <v>206</v>
      </c>
      <c r="C172" s="31" t="n">
        <v>0</v>
      </c>
      <c r="D172" s="31" t="n">
        <v>1</v>
      </c>
      <c r="E172" s="31" t="n">
        <v>1</v>
      </c>
      <c r="F172" s="31" t="n">
        <v>1</v>
      </c>
      <c r="G172" s="31" t="n">
        <v>1</v>
      </c>
      <c r="H172" s="2" t="s">
        <v>224</v>
      </c>
    </row>
    <row r="174" customFormat="false" ht="15" hidden="false" customHeight="false" outlineLevel="0" collapsed="false">
      <c r="A174" s="8" t="s">
        <v>225</v>
      </c>
      <c r="B174" s="15" t="s">
        <v>206</v>
      </c>
      <c r="C174" s="17" t="n">
        <v>0</v>
      </c>
      <c r="D174" s="17" t="n">
        <v>0</v>
      </c>
      <c r="E174" s="17" t="n">
        <v>0</v>
      </c>
      <c r="F174" s="17" t="n">
        <v>0</v>
      </c>
      <c r="G174" s="17" t="n">
        <v>0</v>
      </c>
      <c r="H174" s="2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1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1" t="s">
        <v>227</v>
      </c>
    </row>
    <row r="2" customFormat="false" ht="15" hidden="false" customHeight="false" outlineLevel="0" collapsed="false">
      <c r="A2" s="2" t="s">
        <v>228</v>
      </c>
    </row>
    <row r="4" customFormat="false" ht="15" hidden="false" customHeight="false" outlineLevel="0" collapsed="false">
      <c r="A4" s="6" t="s">
        <v>229</v>
      </c>
      <c r="B4" s="7" t="s">
        <v>230</v>
      </c>
      <c r="C4" s="7" t="s">
        <v>231</v>
      </c>
      <c r="D4" s="7" t="s">
        <v>232</v>
      </c>
      <c r="E4" s="7" t="s">
        <v>233</v>
      </c>
      <c r="F4" s="7" t="s">
        <v>234</v>
      </c>
      <c r="G4" s="7" t="s">
        <v>22</v>
      </c>
      <c r="H4" s="7" t="s">
        <v>235</v>
      </c>
    </row>
    <row r="5" customFormat="false" ht="15" hidden="false" customHeight="false" outlineLevel="0" collapsed="false">
      <c r="A5" s="8" t="s">
        <v>236</v>
      </c>
      <c r="B5" s="17" t="n">
        <v>1120.8</v>
      </c>
      <c r="C5" s="17" t="n">
        <v>1123.1</v>
      </c>
      <c r="D5" s="17" t="n">
        <v>1080.4</v>
      </c>
      <c r="E5" s="17" t="n">
        <v>816.4</v>
      </c>
      <c r="F5" s="17" t="n">
        <v>754.7</v>
      </c>
      <c r="G5" s="36" t="n">
        <f aca="false">D5-E5+F5</f>
        <v>1018.7</v>
      </c>
      <c r="H5" s="2" t="s">
        <v>237</v>
      </c>
    </row>
    <row r="6" customFormat="false" ht="15" hidden="false" customHeight="false" outlineLevel="0" collapsed="false">
      <c r="A6" s="8" t="s">
        <v>238</v>
      </c>
      <c r="B6" s="17" t="n">
        <v>370.9</v>
      </c>
      <c r="C6" s="17" t="n">
        <v>387.9</v>
      </c>
      <c r="D6" s="17" t="n">
        <v>403.6</v>
      </c>
      <c r="E6" s="17" t="n">
        <v>298.1</v>
      </c>
      <c r="F6" s="17" t="n">
        <v>311.9</v>
      </c>
      <c r="G6" s="36" t="n">
        <f aca="false">D6-E6+F6</f>
        <v>417.4</v>
      </c>
      <c r="H6" s="2" t="s">
        <v>239</v>
      </c>
    </row>
    <row r="7" customFormat="false" ht="15" hidden="false" customHeight="false" outlineLevel="0" collapsed="false">
      <c r="A7" s="37" t="s">
        <v>240</v>
      </c>
      <c r="B7" s="38" t="n">
        <f aca="false">B5-B6</f>
        <v>749.9</v>
      </c>
      <c r="C7" s="38" t="n">
        <f aca="false">C5-C6</f>
        <v>735.2</v>
      </c>
      <c r="D7" s="38" t="n">
        <f aca="false">D5-D6</f>
        <v>676.8</v>
      </c>
      <c r="E7" s="38" t="n">
        <f aca="false">E5-E6</f>
        <v>518.3</v>
      </c>
      <c r="F7" s="38" t="n">
        <f aca="false">F5-F6</f>
        <v>442.8</v>
      </c>
      <c r="G7" s="38" t="n">
        <f aca="false">G5-G6</f>
        <v>601.3</v>
      </c>
    </row>
    <row r="8" customFormat="false" ht="15" hidden="false" customHeight="false" outlineLevel="0" collapsed="false">
      <c r="A8" s="8" t="s">
        <v>241</v>
      </c>
      <c r="B8" s="17" t="n">
        <v>341.3</v>
      </c>
      <c r="C8" s="17" t="n">
        <v>365.1</v>
      </c>
      <c r="D8" s="17" t="n">
        <v>332</v>
      </c>
      <c r="E8" s="17" t="n">
        <v>245.1</v>
      </c>
      <c r="F8" s="17" t="n">
        <v>232.4</v>
      </c>
      <c r="G8" s="36" t="n">
        <f aca="false">D8-E8+F8</f>
        <v>319.3</v>
      </c>
      <c r="H8" s="2" t="s">
        <v>242</v>
      </c>
    </row>
    <row r="9" customFormat="false" ht="15" hidden="false" customHeight="false" outlineLevel="0" collapsed="false">
      <c r="A9" s="8" t="s">
        <v>243</v>
      </c>
      <c r="B9" s="17" t="n">
        <v>85.2</v>
      </c>
      <c r="C9" s="17" t="n">
        <v>78.8</v>
      </c>
      <c r="D9" s="17" t="n">
        <v>37.3</v>
      </c>
      <c r="E9" s="17" t="n">
        <v>32.7</v>
      </c>
      <c r="F9" s="17" t="n">
        <v>15.6</v>
      </c>
      <c r="G9" s="36" t="n">
        <f aca="false">D9-E9+F9</f>
        <v>20.2</v>
      </c>
      <c r="H9" s="2" t="s">
        <v>244</v>
      </c>
    </row>
    <row r="10" customFormat="false" ht="15" hidden="false" customHeight="false" outlineLevel="0" collapsed="false">
      <c r="A10" s="8" t="s">
        <v>245</v>
      </c>
      <c r="B10" s="17" t="n">
        <v>99.4</v>
      </c>
      <c r="C10" s="17" t="n">
        <v>124.5</v>
      </c>
      <c r="D10" s="17" t="n">
        <v>65.4</v>
      </c>
      <c r="E10" s="17" t="n">
        <v>54.9</v>
      </c>
      <c r="F10" s="17" t="n">
        <v>37.9</v>
      </c>
      <c r="G10" s="36" t="n">
        <f aca="false">D10-E10+F10</f>
        <v>48.4</v>
      </c>
      <c r="H10" s="2" t="s">
        <v>246</v>
      </c>
    </row>
    <row r="11" customFormat="false" ht="15" hidden="false" customHeight="false" outlineLevel="0" collapsed="false">
      <c r="A11" s="8" t="s">
        <v>247</v>
      </c>
      <c r="B11" s="17" t="n">
        <v>2.5</v>
      </c>
      <c r="C11" s="17" t="n">
        <v>0</v>
      </c>
      <c r="D11" s="17" t="n">
        <v>0</v>
      </c>
      <c r="E11" s="17" t="n">
        <v>0</v>
      </c>
      <c r="F11" s="17" t="n">
        <v>0</v>
      </c>
      <c r="G11" s="36" t="n">
        <f aca="false">D11-E11+F11</f>
        <v>0</v>
      </c>
      <c r="H11" s="2" t="s">
        <v>248</v>
      </c>
    </row>
    <row r="12" customFormat="false" ht="15" hidden="false" customHeight="false" outlineLevel="0" collapsed="false">
      <c r="A12" s="8" t="s">
        <v>249</v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10.1</v>
      </c>
      <c r="G12" s="36" t="n">
        <f aca="false">D12-E12+F12</f>
        <v>10.1</v>
      </c>
      <c r="H12" s="2" t="s">
        <v>250</v>
      </c>
    </row>
    <row r="13" customFormat="false" ht="15" hidden="false" customHeight="false" outlineLevel="0" collapsed="false">
      <c r="A13" s="37" t="s">
        <v>251</v>
      </c>
      <c r="B13" s="38" t="n">
        <f aca="false">B7-B8-B9-B10-B11+B12</f>
        <v>221.5</v>
      </c>
      <c r="C13" s="38" t="n">
        <f aca="false">C7-C8-C9-C10-C11+C12</f>
        <v>166.8</v>
      </c>
      <c r="D13" s="38" t="n">
        <f aca="false">D7-D8-D9-D10-D11+D12</f>
        <v>242.1</v>
      </c>
      <c r="E13" s="38" t="n">
        <f aca="false">E7-E8-E9-E10-E11+E12</f>
        <v>185.6</v>
      </c>
      <c r="F13" s="38" t="n">
        <f aca="false">F7-F8-F9-F10-F11+F12</f>
        <v>167</v>
      </c>
      <c r="G13" s="38" t="n">
        <f aca="false">G7-G8-G9-G10-G11+G12</f>
        <v>223.5</v>
      </c>
    </row>
    <row r="14" customFormat="false" ht="15" hidden="false" customHeight="false" outlineLevel="0" collapsed="false">
      <c r="A14" s="8" t="s">
        <v>252</v>
      </c>
      <c r="B14" s="17" t="n">
        <v>107</v>
      </c>
      <c r="C14" s="17" t="n">
        <v>112.3</v>
      </c>
      <c r="D14" s="17" t="n">
        <v>107.3</v>
      </c>
      <c r="E14" s="17" t="n">
        <v>81.2</v>
      </c>
      <c r="F14" s="17" t="n">
        <v>70.6</v>
      </c>
      <c r="G14" s="36" t="n">
        <f aca="false">D14-E14+F14</f>
        <v>96.7</v>
      </c>
      <c r="H14" s="2" t="s">
        <v>253</v>
      </c>
    </row>
    <row r="15" customFormat="false" ht="15" hidden="false" customHeight="false" outlineLevel="0" collapsed="false">
      <c r="A15" s="8" t="s">
        <v>254</v>
      </c>
      <c r="B15" s="17" t="n">
        <v>-8.8</v>
      </c>
      <c r="C15" s="17" t="n">
        <v>-10.3</v>
      </c>
      <c r="D15" s="17" t="n">
        <v>1.5</v>
      </c>
      <c r="E15" s="17" t="n">
        <v>2.9</v>
      </c>
      <c r="F15" s="17" t="n">
        <v>-0.4</v>
      </c>
      <c r="G15" s="36" t="n">
        <f aca="false">D15-E15+F15</f>
        <v>-1.8</v>
      </c>
    </row>
    <row r="16" customFormat="false" ht="15" hidden="false" customHeight="false" outlineLevel="0" collapsed="false">
      <c r="A16" s="37" t="s">
        <v>255</v>
      </c>
      <c r="B16" s="38" t="n">
        <f aca="false">B13-B14+B15</f>
        <v>105.7</v>
      </c>
      <c r="C16" s="38" t="n">
        <f aca="false">C13-C14+C15</f>
        <v>44.1999999999999</v>
      </c>
      <c r="D16" s="38" t="n">
        <f aca="false">D13-D14+D15</f>
        <v>136.3</v>
      </c>
      <c r="E16" s="38" t="n">
        <f aca="false">E13-E14+E15</f>
        <v>107.3</v>
      </c>
      <c r="F16" s="38" t="n">
        <f aca="false">F13-F14+F15</f>
        <v>96.0000000000001</v>
      </c>
      <c r="G16" s="38" t="n">
        <f aca="false">G13-G14+G15</f>
        <v>125</v>
      </c>
    </row>
    <row r="17" customFormat="false" ht="15" hidden="false" customHeight="false" outlineLevel="0" collapsed="false">
      <c r="A17" s="8" t="s">
        <v>256</v>
      </c>
      <c r="B17" s="17" t="n">
        <v>35.3</v>
      </c>
      <c r="C17" s="17" t="n">
        <v>-34.1</v>
      </c>
      <c r="D17" s="17" t="n">
        <v>40.9</v>
      </c>
      <c r="E17" s="17" t="n">
        <v>38.3</v>
      </c>
      <c r="F17" s="17" t="n">
        <v>34.9</v>
      </c>
      <c r="G17" s="36" t="n">
        <f aca="false">D17-E17+F17</f>
        <v>37.5</v>
      </c>
      <c r="H17" s="2" t="s">
        <v>257</v>
      </c>
    </row>
    <row r="18" customFormat="false" ht="15" hidden="false" customHeight="false" outlineLevel="0" collapsed="false">
      <c r="A18" s="37" t="s">
        <v>258</v>
      </c>
      <c r="B18" s="38" t="n">
        <f aca="false">B16-B17</f>
        <v>70.4</v>
      </c>
      <c r="C18" s="38" t="n">
        <f aca="false">C16-C17</f>
        <v>78.2999999999999</v>
      </c>
      <c r="D18" s="38" t="n">
        <f aca="false">D16-D17</f>
        <v>95.4000000000001</v>
      </c>
      <c r="E18" s="38" t="n">
        <f aca="false">E16-E17</f>
        <v>68.9999999999999</v>
      </c>
      <c r="F18" s="38" t="n">
        <f aca="false">F16-F17</f>
        <v>61.1000000000001</v>
      </c>
      <c r="G18" s="38" t="n">
        <f aca="false">G16-G17</f>
        <v>87.5000000000002</v>
      </c>
    </row>
    <row r="19" customFormat="false" ht="15" hidden="false" customHeight="false" outlineLevel="0" collapsed="false">
      <c r="A19" s="8" t="s">
        <v>259</v>
      </c>
      <c r="B19" s="17" t="n">
        <v>70.4</v>
      </c>
      <c r="C19" s="17" t="n">
        <v>78.3</v>
      </c>
      <c r="D19" s="17" t="n">
        <v>95.4</v>
      </c>
      <c r="E19" s="17" t="n">
        <v>69</v>
      </c>
      <c r="F19" s="17" t="n">
        <v>61.1</v>
      </c>
      <c r="G19" s="36" t="n">
        <f aca="false">D19-E19+F19</f>
        <v>87.5</v>
      </c>
      <c r="H19" s="2" t="s">
        <v>260</v>
      </c>
    </row>
    <row r="21" customFormat="false" ht="15" hidden="false" customHeight="false" outlineLevel="0" collapsed="false">
      <c r="A21" s="24" t="s">
        <v>261</v>
      </c>
      <c r="B21" s="25"/>
      <c r="C21" s="25"/>
      <c r="D21" s="25"/>
      <c r="E21" s="25"/>
      <c r="F21" s="25"/>
      <c r="G21" s="25"/>
      <c r="H21" s="25"/>
    </row>
    <row r="22" customFormat="false" ht="15" hidden="false" customHeight="false" outlineLevel="0" collapsed="false">
      <c r="A22" s="8" t="s">
        <v>262</v>
      </c>
      <c r="B22" s="17" t="n">
        <v>32.6</v>
      </c>
      <c r="C22" s="17" t="n">
        <v>36.2</v>
      </c>
      <c r="D22" s="17" t="n">
        <v>40.7</v>
      </c>
      <c r="E22" s="17" t="n">
        <v>27.6</v>
      </c>
      <c r="F22" s="17" t="n">
        <v>31.1</v>
      </c>
      <c r="G22" s="36" t="n">
        <f aca="false">D22-E22+F22</f>
        <v>44.2</v>
      </c>
      <c r="H22" s="2" t="s">
        <v>263</v>
      </c>
    </row>
    <row r="23" customFormat="false" ht="15" hidden="false" customHeight="false" outlineLevel="0" collapsed="false">
      <c r="A23" s="8" t="s">
        <v>264</v>
      </c>
      <c r="B23" s="17" t="n">
        <v>21.5</v>
      </c>
      <c r="C23" s="17" t="n">
        <v>26.3</v>
      </c>
      <c r="D23" s="17" t="n">
        <v>31.6</v>
      </c>
      <c r="E23" s="17" t="n">
        <v>22.1</v>
      </c>
      <c r="F23" s="17" t="n">
        <v>15.8</v>
      </c>
      <c r="G23" s="36" t="n">
        <f aca="false">D23-E23+F23</f>
        <v>25.3</v>
      </c>
      <c r="H23" s="2" t="s">
        <v>263</v>
      </c>
    </row>
    <row r="24" customFormat="false" ht="15" hidden="false" customHeight="false" outlineLevel="0" collapsed="false">
      <c r="A24" s="37" t="s">
        <v>265</v>
      </c>
      <c r="B24" s="38" t="n">
        <f aca="false">B13+B22+B10+B11-B12</f>
        <v>356</v>
      </c>
      <c r="C24" s="38" t="n">
        <f aca="false">C13+C22+C10+C11-C12</f>
        <v>327.5</v>
      </c>
      <c r="D24" s="38" t="n">
        <f aca="false">D13+D22+D10+D11-D12</f>
        <v>348.2</v>
      </c>
      <c r="E24" s="38" t="n">
        <f aca="false">E13+E22+E10+E11-E12</f>
        <v>268.1</v>
      </c>
      <c r="F24" s="38" t="n">
        <f aca="false">F13+F22+F10+F11-F12</f>
        <v>225.9</v>
      </c>
      <c r="G24" s="38" t="n">
        <f aca="false">G13+G22+G10+G11-G12</f>
        <v>306</v>
      </c>
    </row>
    <row r="25" customFormat="false" ht="15" hidden="false" customHeight="false" outlineLevel="0" collapsed="false">
      <c r="A25" s="8" t="s">
        <v>266</v>
      </c>
      <c r="B25" s="39" t="n">
        <f aca="false">IFERROR(B24/B5,0)</f>
        <v>0.317630264097074</v>
      </c>
      <c r="C25" s="39" t="n">
        <f aca="false">IFERROR(C24/C5,0)</f>
        <v>0.291603597186359</v>
      </c>
      <c r="D25" s="39" t="n">
        <f aca="false">IFERROR(D24/D5,0)</f>
        <v>0.322288041466124</v>
      </c>
      <c r="E25" s="39" t="n">
        <f aca="false">IFERROR(E24/E5,0)</f>
        <v>0.328392944634983</v>
      </c>
      <c r="F25" s="39" t="n">
        <f aca="false">IFERROR(F24/F5,0)</f>
        <v>0.299324234795283</v>
      </c>
      <c r="G25" s="39" t="n">
        <f aca="false">IFERROR(G24/G5,0)</f>
        <v>0.300382840875626</v>
      </c>
    </row>
    <row r="26" customFormat="false" ht="15" hidden="false" customHeight="false" outlineLevel="0" collapsed="false">
      <c r="A26" s="3" t="s">
        <v>267</v>
      </c>
      <c r="B26" s="27" t="n">
        <f aca="false">B24+B23</f>
        <v>377.5</v>
      </c>
      <c r="C26" s="27" t="n">
        <f aca="false">C24+C23</f>
        <v>353.8</v>
      </c>
      <c r="D26" s="27" t="n">
        <f aca="false">D24+D23</f>
        <v>379.8</v>
      </c>
      <c r="E26" s="27" t="n">
        <f aca="false">E24+E23</f>
        <v>290.2</v>
      </c>
      <c r="F26" s="27" t="n">
        <f aca="false">F24+F23</f>
        <v>241.7</v>
      </c>
      <c r="G26" s="27" t="n">
        <f aca="false">G24+G23</f>
        <v>331.3</v>
      </c>
    </row>
    <row r="27" customFormat="false" ht="15" hidden="false" customHeight="false" outlineLevel="0" collapsed="false">
      <c r="A27" s="8" t="s">
        <v>268</v>
      </c>
      <c r="D27" s="17" t="n">
        <v>415.3</v>
      </c>
      <c r="E27" s="17" t="n">
        <v>325.4</v>
      </c>
      <c r="F27" s="17" t="n">
        <v>247.5</v>
      </c>
      <c r="G27" s="36" t="n">
        <f aca="false">D27-E27+F27</f>
        <v>337.4</v>
      </c>
      <c r="H27" s="2" t="s">
        <v>269</v>
      </c>
    </row>
    <row r="28" customFormat="false" ht="15" hidden="false" customHeight="false" outlineLevel="0" collapsed="false">
      <c r="A28" s="2" t="s">
        <v>270</v>
      </c>
    </row>
    <row r="30" customFormat="false" ht="15" hidden="false" customHeight="false" outlineLevel="0" collapsed="false">
      <c r="A30" s="6" t="s">
        <v>271</v>
      </c>
      <c r="B30" s="7" t="s">
        <v>230</v>
      </c>
      <c r="C30" s="7" t="s">
        <v>231</v>
      </c>
      <c r="D30" s="7" t="s">
        <v>232</v>
      </c>
      <c r="E30" s="7" t="s">
        <v>233</v>
      </c>
      <c r="F30" s="7" t="s">
        <v>234</v>
      </c>
      <c r="G30" s="7" t="s">
        <v>22</v>
      </c>
      <c r="H30" s="7" t="s">
        <v>272</v>
      </c>
    </row>
    <row r="31" customFormat="false" ht="15" hidden="false" customHeight="false" outlineLevel="0" collapsed="false">
      <c r="A31" s="8" t="s">
        <v>273</v>
      </c>
      <c r="B31" s="17" t="n">
        <v>601.4</v>
      </c>
      <c r="C31" s="17" t="n">
        <v>607.2</v>
      </c>
      <c r="D31" s="17" t="n">
        <v>579.1</v>
      </c>
      <c r="E31" s="17" t="n">
        <v>437.1</v>
      </c>
      <c r="F31" s="17" t="n">
        <v>347.1</v>
      </c>
      <c r="G31" s="36" t="n">
        <f aca="false">D31-E31+F31</f>
        <v>489.1</v>
      </c>
      <c r="H31" s="2" t="s">
        <v>274</v>
      </c>
    </row>
    <row r="32" customFormat="false" ht="15" hidden="false" customHeight="false" outlineLevel="0" collapsed="false">
      <c r="A32" s="8" t="s">
        <v>275</v>
      </c>
      <c r="B32" s="17" t="n">
        <v>519.4</v>
      </c>
      <c r="C32" s="17" t="n">
        <v>515.9</v>
      </c>
      <c r="D32" s="17" t="n">
        <v>501.3</v>
      </c>
      <c r="E32" s="17" t="n">
        <v>379.3</v>
      </c>
      <c r="F32" s="17" t="n">
        <v>407.6</v>
      </c>
      <c r="G32" s="36" t="n">
        <f aca="false">D32-E32+F32</f>
        <v>529.6</v>
      </c>
      <c r="H32" s="2" t="s">
        <v>276</v>
      </c>
    </row>
    <row r="33" customFormat="false" ht="15" hidden="false" customHeight="false" outlineLevel="0" collapsed="false">
      <c r="A33" s="8" t="s">
        <v>277</v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13.8</v>
      </c>
      <c r="G33" s="36" t="n">
        <f aca="false">D33-E33+F33</f>
        <v>13.8</v>
      </c>
      <c r="H33" s="2" t="s">
        <v>278</v>
      </c>
    </row>
    <row r="34" customFormat="false" ht="15" hidden="false" customHeight="false" outlineLevel="0" collapsed="false">
      <c r="A34" s="37" t="s">
        <v>279</v>
      </c>
      <c r="B34" s="38" t="n">
        <f aca="false">B31+B32</f>
        <v>1120.8</v>
      </c>
      <c r="C34" s="38" t="n">
        <f aca="false">C31+C32</f>
        <v>1123.1</v>
      </c>
      <c r="D34" s="38" t="n">
        <f aca="false">D31+D32</f>
        <v>1080.4</v>
      </c>
      <c r="E34" s="38" t="n">
        <f aca="false">E31+E32</f>
        <v>816.4</v>
      </c>
      <c r="F34" s="38" t="n">
        <f aca="false">F31+F32</f>
        <v>754.7</v>
      </c>
      <c r="G34" s="38" t="n">
        <f aca="false">G31+G32</f>
        <v>1018.7</v>
      </c>
    </row>
    <row r="35" customFormat="false" ht="15" hidden="false" customHeight="false" outlineLevel="0" collapsed="false">
      <c r="A35" s="8" t="s">
        <v>280</v>
      </c>
      <c r="C35" s="39" t="n">
        <f aca="false">C31/B31-1</f>
        <v>0.00964416361822429</v>
      </c>
      <c r="D35" s="39" t="n">
        <f aca="false">D31/C31-1</f>
        <v>-0.046277997364954</v>
      </c>
      <c r="F35" s="39" t="n">
        <f aca="false">F31/E31-1</f>
        <v>-0.205902539464653</v>
      </c>
    </row>
    <row r="36" customFormat="false" ht="15" hidden="false" customHeight="false" outlineLevel="0" collapsed="false">
      <c r="A36" s="8" t="s">
        <v>281</v>
      </c>
      <c r="B36" s="17" t="n">
        <v>829.2</v>
      </c>
      <c r="C36" s="17" t="n">
        <v>844.4</v>
      </c>
      <c r="D36" s="17" t="n">
        <v>784.1</v>
      </c>
      <c r="E36" s="17" t="n">
        <v>596.3</v>
      </c>
      <c r="F36" s="17" t="n">
        <v>517.6</v>
      </c>
      <c r="G36" s="36" t="n">
        <f aca="false">D36-E36+F36</f>
        <v>705.4</v>
      </c>
      <c r="H36" s="2" t="s">
        <v>282</v>
      </c>
    </row>
    <row r="37" customFormat="false" ht="15" hidden="false" customHeight="false" outlineLevel="0" collapsed="false">
      <c r="A37" s="8" t="s">
        <v>283</v>
      </c>
      <c r="B37" s="17" t="n">
        <v>138.1</v>
      </c>
      <c r="C37" s="17" t="n">
        <v>126.2</v>
      </c>
      <c r="D37" s="17" t="n">
        <v>124.6</v>
      </c>
      <c r="E37" s="17" t="n">
        <v>92.3</v>
      </c>
      <c r="F37" s="17" t="n">
        <v>93.7</v>
      </c>
      <c r="G37" s="36" t="n">
        <f aca="false">D37-E37+F37</f>
        <v>126</v>
      </c>
    </row>
    <row r="38" customFormat="false" ht="15" hidden="false" customHeight="false" outlineLevel="0" collapsed="false">
      <c r="A38" s="8" t="s">
        <v>284</v>
      </c>
      <c r="B38" s="17" t="n">
        <v>126.3</v>
      </c>
      <c r="C38" s="17" t="n">
        <v>129.4</v>
      </c>
      <c r="D38" s="17" t="n">
        <v>137.8</v>
      </c>
      <c r="E38" s="17" t="n">
        <v>103.2</v>
      </c>
      <c r="F38" s="17" t="n">
        <v>108.3</v>
      </c>
      <c r="G38" s="36" t="n">
        <f aca="false">D38-E38+F38</f>
        <v>142.9</v>
      </c>
    </row>
    <row r="39" customFormat="false" ht="15" hidden="false" customHeight="false" outlineLevel="0" collapsed="false">
      <c r="A39" s="8" t="s">
        <v>285</v>
      </c>
      <c r="B39" s="17" t="n">
        <v>14.2</v>
      </c>
      <c r="C39" s="17" t="n">
        <v>10.3</v>
      </c>
      <c r="D39" s="17" t="n">
        <v>14</v>
      </c>
      <c r="E39" s="17" t="n">
        <v>9.9</v>
      </c>
      <c r="F39" s="17" t="n">
        <v>23.2</v>
      </c>
      <c r="G39" s="36" t="n">
        <f aca="false">D39-E39+F39</f>
        <v>27.3</v>
      </c>
    </row>
    <row r="40" customFormat="false" ht="15" hidden="false" customHeight="false" outlineLevel="0" collapsed="false">
      <c r="A40" s="8" t="s">
        <v>286</v>
      </c>
      <c r="B40" s="17" t="n">
        <v>13</v>
      </c>
      <c r="C40" s="17" t="n">
        <v>12.8</v>
      </c>
      <c r="D40" s="17" t="n">
        <v>19.9</v>
      </c>
      <c r="E40" s="17" t="n">
        <v>14.7</v>
      </c>
      <c r="F40" s="17" t="n">
        <v>11.9</v>
      </c>
      <c r="G40" s="36" t="n">
        <f aca="false">D40-E40+F40</f>
        <v>17.1</v>
      </c>
      <c r="H40" s="2" t="s">
        <v>287</v>
      </c>
    </row>
    <row r="41" customFormat="false" ht="15" hidden="false" customHeight="false" outlineLevel="0" collapsed="false">
      <c r="A41" s="8" t="s">
        <v>288</v>
      </c>
      <c r="C41" s="39" t="n">
        <f aca="false">C36/B36-1</f>
        <v>0.0183309213699951</v>
      </c>
      <c r="D41" s="39" t="n">
        <f aca="false">D36/C36-1</f>
        <v>-0.0714116532449076</v>
      </c>
      <c r="F41" s="39" t="n">
        <f aca="false">F36/E36-1</f>
        <v>-0.131980546704679</v>
      </c>
    </row>
    <row r="43" customFormat="false" ht="15" hidden="false" customHeight="false" outlineLevel="0" collapsed="false">
      <c r="A43" s="6" t="s">
        <v>289</v>
      </c>
      <c r="B43" s="7" t="s">
        <v>290</v>
      </c>
      <c r="C43" s="7" t="s">
        <v>291</v>
      </c>
      <c r="D43" s="7" t="s">
        <v>292</v>
      </c>
      <c r="E43" s="7"/>
      <c r="F43" s="7" t="s">
        <v>293</v>
      </c>
      <c r="G43" s="7"/>
      <c r="H43" s="7" t="s">
        <v>272</v>
      </c>
    </row>
    <row r="44" customFormat="false" ht="15" hidden="false" customHeight="false" outlineLevel="0" collapsed="false">
      <c r="A44" s="8" t="s">
        <v>294</v>
      </c>
      <c r="B44" s="17" t="n">
        <v>326.5</v>
      </c>
      <c r="C44" s="17" t="n">
        <v>274.2</v>
      </c>
      <c r="D44" s="17" t="n">
        <v>228.6</v>
      </c>
      <c r="F44" s="17" t="n">
        <v>218.2</v>
      </c>
      <c r="H44" s="2" t="s">
        <v>295</v>
      </c>
    </row>
    <row r="45" customFormat="false" ht="15" hidden="false" customHeight="false" outlineLevel="0" collapsed="false">
      <c r="A45" s="8" t="s">
        <v>296</v>
      </c>
      <c r="B45" s="17" t="n">
        <v>16.7</v>
      </c>
      <c r="C45" s="17" t="n">
        <v>193</v>
      </c>
      <c r="D45" s="17" t="n">
        <v>145.6</v>
      </c>
      <c r="F45" s="17" t="n">
        <v>182.2</v>
      </c>
      <c r="H45" s="2" t="s">
        <v>297</v>
      </c>
    </row>
    <row r="46" customFormat="false" ht="15" hidden="false" customHeight="false" outlineLevel="0" collapsed="false">
      <c r="A46" s="8" t="s">
        <v>298</v>
      </c>
      <c r="B46" s="17" t="n">
        <v>152.1</v>
      </c>
      <c r="C46" s="17" t="n">
        <v>171.5</v>
      </c>
      <c r="D46" s="17" t="n">
        <v>178.6</v>
      </c>
      <c r="F46" s="17" t="n">
        <v>214.2</v>
      </c>
    </row>
    <row r="47" customFormat="false" ht="15" hidden="false" customHeight="false" outlineLevel="0" collapsed="false">
      <c r="A47" s="8" t="s">
        <v>299</v>
      </c>
      <c r="B47" s="17" t="n">
        <v>253.8</v>
      </c>
      <c r="C47" s="17" t="n">
        <v>122.3</v>
      </c>
      <c r="D47" s="17" t="n">
        <v>78.6</v>
      </c>
      <c r="F47" s="17" t="n">
        <v>90.5</v>
      </c>
      <c r="H47" s="2" t="s">
        <v>300</v>
      </c>
    </row>
    <row r="48" customFormat="false" ht="15" hidden="false" customHeight="false" outlineLevel="0" collapsed="false">
      <c r="A48" s="37" t="s">
        <v>301</v>
      </c>
      <c r="B48" s="38" t="n">
        <f aca="false">SUM(B44:B47)</f>
        <v>749.1</v>
      </c>
      <c r="C48" s="38" t="n">
        <f aca="false">SUM(C44:C47)</f>
        <v>761</v>
      </c>
      <c r="D48" s="38" t="n">
        <f aca="false">SUM(D44:D47)</f>
        <v>631.4</v>
      </c>
      <c r="E48" s="40"/>
      <c r="F48" s="38" t="n">
        <f aca="false">SUM(F44:F47)</f>
        <v>705.1</v>
      </c>
      <c r="G48" s="40"/>
    </row>
    <row r="49" customFormat="false" ht="15" hidden="false" customHeight="false" outlineLevel="0" collapsed="false">
      <c r="A49" s="8" t="s">
        <v>302</v>
      </c>
      <c r="B49" s="17" t="n">
        <v>300.2</v>
      </c>
      <c r="C49" s="17" t="n">
        <v>290.4</v>
      </c>
      <c r="D49" s="17" t="n">
        <v>257.2</v>
      </c>
      <c r="F49" s="17" t="n">
        <v>316.8</v>
      </c>
    </row>
    <row r="50" customFormat="false" ht="15" hidden="false" customHeight="false" outlineLevel="0" collapsed="false">
      <c r="A50" s="8" t="s">
        <v>303</v>
      </c>
      <c r="B50" s="17" t="n">
        <v>24.7</v>
      </c>
      <c r="C50" s="17" t="n">
        <v>23.7</v>
      </c>
      <c r="D50" s="17" t="n">
        <v>22.4</v>
      </c>
      <c r="F50" s="17" t="n">
        <v>87.4</v>
      </c>
      <c r="H50" s="2" t="s">
        <v>304</v>
      </c>
    </row>
    <row r="51" customFormat="false" ht="15" hidden="false" customHeight="false" outlineLevel="0" collapsed="false">
      <c r="A51" s="8" t="s">
        <v>305</v>
      </c>
      <c r="B51" s="17" t="n">
        <v>140.4</v>
      </c>
      <c r="C51" s="17" t="n">
        <v>210.2</v>
      </c>
      <c r="D51" s="17" t="n">
        <v>179.9</v>
      </c>
      <c r="F51" s="17" t="n">
        <v>156</v>
      </c>
    </row>
    <row r="52" customFormat="false" ht="15" hidden="false" customHeight="false" outlineLevel="0" collapsed="false">
      <c r="A52" s="37" t="s">
        <v>306</v>
      </c>
      <c r="B52" s="38" t="n">
        <f aca="false">B48+B49+B50+B51</f>
        <v>1214.4</v>
      </c>
      <c r="C52" s="38" t="n">
        <f aca="false">C48+C49+C50+C51</f>
        <v>1285.3</v>
      </c>
      <c r="D52" s="38" t="n">
        <f aca="false">D48+D49+D50+D51</f>
        <v>1090.9</v>
      </c>
      <c r="E52" s="40"/>
      <c r="F52" s="38" t="n">
        <f aca="false">F48+F49+F50+F51</f>
        <v>1265.3</v>
      </c>
      <c r="G52" s="40"/>
    </row>
    <row r="53" customFormat="false" ht="15" hidden="false" customHeight="false" outlineLevel="0" collapsed="false">
      <c r="A53" s="8" t="s">
        <v>307</v>
      </c>
      <c r="B53" s="17" t="n">
        <v>1214.4</v>
      </c>
      <c r="C53" s="17" t="n">
        <v>1285.3</v>
      </c>
      <c r="D53" s="17" t="n">
        <v>1090.9</v>
      </c>
      <c r="F53" s="17" t="n">
        <v>1265.3</v>
      </c>
    </row>
    <row r="54" customFormat="false" ht="15" hidden="false" customHeight="false" outlineLevel="0" collapsed="false">
      <c r="A54" s="8" t="s">
        <v>308</v>
      </c>
      <c r="B54" s="17" t="n">
        <v>53.5</v>
      </c>
      <c r="C54" s="17" t="n">
        <v>91</v>
      </c>
      <c r="D54" s="17" t="n">
        <v>74.2</v>
      </c>
      <c r="F54" s="17" t="n">
        <v>90.5</v>
      </c>
    </row>
    <row r="55" customFormat="false" ht="15" hidden="false" customHeight="false" outlineLevel="0" collapsed="false">
      <c r="A55" s="8" t="s">
        <v>309</v>
      </c>
      <c r="B55" s="17" t="n">
        <v>290.5</v>
      </c>
      <c r="C55" s="17" t="n">
        <v>273.5</v>
      </c>
      <c r="D55" s="17" t="n">
        <v>177.8</v>
      </c>
      <c r="F55" s="17" t="n">
        <v>189.9</v>
      </c>
      <c r="H55" s="2" t="s">
        <v>310</v>
      </c>
    </row>
    <row r="56" customFormat="false" ht="15" hidden="false" customHeight="false" outlineLevel="0" collapsed="false">
      <c r="A56" s="8" t="s">
        <v>311</v>
      </c>
      <c r="B56" s="17" t="n">
        <v>0</v>
      </c>
      <c r="C56" s="17" t="n">
        <v>0</v>
      </c>
      <c r="D56" s="17" t="n">
        <v>0</v>
      </c>
      <c r="F56" s="17" t="n">
        <v>129.9</v>
      </c>
      <c r="H56" s="2" t="s">
        <v>312</v>
      </c>
    </row>
    <row r="57" customFormat="false" ht="15" hidden="false" customHeight="false" outlineLevel="0" collapsed="false">
      <c r="A57" s="8" t="s">
        <v>313</v>
      </c>
      <c r="B57" s="17" t="n">
        <v>1603.4</v>
      </c>
      <c r="C57" s="17" t="n">
        <v>1574.8</v>
      </c>
      <c r="D57" s="17" t="n">
        <v>1398.2</v>
      </c>
      <c r="F57" s="17" t="n">
        <v>1325.2</v>
      </c>
      <c r="H57" s="2" t="s">
        <v>314</v>
      </c>
    </row>
    <row r="58" customFormat="false" ht="15" hidden="false" customHeight="false" outlineLevel="0" collapsed="false">
      <c r="A58" s="8" t="s">
        <v>315</v>
      </c>
      <c r="B58" s="17" t="n">
        <v>88.7</v>
      </c>
      <c r="C58" s="17" t="n">
        <v>84.3</v>
      </c>
      <c r="D58" s="17" t="n">
        <v>91.3</v>
      </c>
      <c r="F58" s="17" t="n">
        <v>142.5</v>
      </c>
    </row>
    <row r="59" customFormat="false" ht="15" hidden="false" customHeight="false" outlineLevel="0" collapsed="false">
      <c r="A59" s="37" t="s">
        <v>316</v>
      </c>
      <c r="B59" s="38" t="n">
        <f aca="false">SUM(B54:B58)</f>
        <v>2036.1</v>
      </c>
      <c r="C59" s="38" t="n">
        <f aca="false">SUM(C54:C58)</f>
        <v>2023.6</v>
      </c>
      <c r="D59" s="38" t="n">
        <f aca="false">SUM(D54:D58)</f>
        <v>1741.5</v>
      </c>
      <c r="E59" s="40"/>
      <c r="F59" s="38" t="n">
        <f aca="false">SUM(F54:F58)</f>
        <v>1878</v>
      </c>
      <c r="G59" s="40"/>
    </row>
    <row r="60" customFormat="false" ht="15" hidden="false" customHeight="false" outlineLevel="0" collapsed="false">
      <c r="A60" s="8" t="s">
        <v>317</v>
      </c>
      <c r="B60" s="17" t="n">
        <v>-821.7</v>
      </c>
      <c r="C60" s="17" t="n">
        <v>-738.3</v>
      </c>
      <c r="D60" s="17" t="n">
        <v>-650.6</v>
      </c>
      <c r="F60" s="17" t="n">
        <v>-612.7</v>
      </c>
      <c r="H60" s="2" t="s">
        <v>318</v>
      </c>
    </row>
    <row r="61" customFormat="false" ht="15" hidden="false" customHeight="false" outlineLevel="0" collapsed="false">
      <c r="A61" s="37" t="s">
        <v>319</v>
      </c>
      <c r="B61" s="38" t="n">
        <f aca="false">B59+B60</f>
        <v>1214.4</v>
      </c>
      <c r="C61" s="38" t="n">
        <f aca="false">C59+C60</f>
        <v>1285.3</v>
      </c>
      <c r="D61" s="38" t="n">
        <f aca="false">D59+D60</f>
        <v>1090.9</v>
      </c>
      <c r="E61" s="40"/>
      <c r="F61" s="38" t="n">
        <f aca="false">F59+F60</f>
        <v>1265.3</v>
      </c>
      <c r="G61" s="40"/>
    </row>
    <row r="63" customFormat="false" ht="15" hidden="false" customHeight="false" outlineLevel="0" collapsed="false">
      <c r="A63" s="6" t="s">
        <v>320</v>
      </c>
      <c r="B63" s="7" t="s">
        <v>230</v>
      </c>
      <c r="C63" s="7" t="s">
        <v>231</v>
      </c>
      <c r="D63" s="7" t="s">
        <v>232</v>
      </c>
      <c r="E63" s="7" t="s">
        <v>233</v>
      </c>
      <c r="F63" s="7" t="s">
        <v>234</v>
      </c>
      <c r="G63" s="7" t="s">
        <v>22</v>
      </c>
      <c r="H63" s="7" t="s">
        <v>272</v>
      </c>
    </row>
    <row r="64" customFormat="false" ht="15" hidden="false" customHeight="false" outlineLevel="0" collapsed="false">
      <c r="A64" s="8" t="s">
        <v>258</v>
      </c>
      <c r="B64" s="36" t="n">
        <f aca="false">B18</f>
        <v>70.4</v>
      </c>
      <c r="C64" s="36" t="n">
        <f aca="false">C18</f>
        <v>78.2999999999999</v>
      </c>
      <c r="D64" s="36" t="n">
        <f aca="false">D18</f>
        <v>95.4000000000001</v>
      </c>
      <c r="E64" s="36" t="n">
        <f aca="false">E18</f>
        <v>68.9999999999999</v>
      </c>
      <c r="F64" s="36" t="n">
        <f aca="false">F18</f>
        <v>61.1000000000001</v>
      </c>
      <c r="G64" s="36" t="n">
        <f aca="false">G18</f>
        <v>87.5000000000002</v>
      </c>
    </row>
    <row r="65" customFormat="false" ht="15" hidden="false" customHeight="false" outlineLevel="0" collapsed="false">
      <c r="A65" s="8" t="s">
        <v>321</v>
      </c>
      <c r="B65" s="36" t="n">
        <f aca="false">B22</f>
        <v>32.6</v>
      </c>
      <c r="C65" s="36" t="n">
        <f aca="false">C22</f>
        <v>36.2</v>
      </c>
      <c r="D65" s="36" t="n">
        <f aca="false">D22</f>
        <v>40.7</v>
      </c>
      <c r="E65" s="36" t="n">
        <f aca="false">E22</f>
        <v>27.6</v>
      </c>
      <c r="F65" s="36" t="n">
        <f aca="false">F22</f>
        <v>31.1</v>
      </c>
      <c r="G65" s="36" t="n">
        <f aca="false">G22</f>
        <v>44.2</v>
      </c>
    </row>
    <row r="66" customFormat="false" ht="15" hidden="false" customHeight="false" outlineLevel="0" collapsed="false">
      <c r="A66" s="8" t="s">
        <v>322</v>
      </c>
      <c r="B66" s="17" t="n">
        <v>44.7</v>
      </c>
      <c r="C66" s="17" t="n">
        <v>-31.1</v>
      </c>
      <c r="D66" s="17" t="n">
        <v>79.3</v>
      </c>
      <c r="E66" s="17" t="n">
        <v>58.9</v>
      </c>
      <c r="F66" s="17" t="n">
        <v>33.2</v>
      </c>
      <c r="G66" s="36" t="n">
        <f aca="false">D66-E66+F66</f>
        <v>53.6</v>
      </c>
      <c r="H66" s="2" t="s">
        <v>323</v>
      </c>
    </row>
    <row r="67" customFormat="false" ht="15" hidden="false" customHeight="false" outlineLevel="0" collapsed="false">
      <c r="A67" s="8" t="s">
        <v>324</v>
      </c>
      <c r="B67" s="17" t="n">
        <v>-63.9</v>
      </c>
      <c r="C67" s="17" t="n">
        <v>-19.6</v>
      </c>
      <c r="D67" s="17" t="n">
        <v>-25.1</v>
      </c>
      <c r="E67" s="17" t="n">
        <v>-51.3</v>
      </c>
      <c r="F67" s="17" t="n">
        <v>-36.7</v>
      </c>
      <c r="G67" s="36" t="n">
        <f aca="false">D67-E67+F67</f>
        <v>-10.5</v>
      </c>
      <c r="H67" s="2" t="s">
        <v>325</v>
      </c>
    </row>
    <row r="68" customFormat="false" ht="15" hidden="false" customHeight="false" outlineLevel="0" collapsed="false">
      <c r="A68" s="8" t="s">
        <v>326</v>
      </c>
      <c r="B68" s="17" t="n">
        <v>-16.1</v>
      </c>
      <c r="C68" s="17" t="n">
        <v>-28.1</v>
      </c>
      <c r="D68" s="17" t="n">
        <v>1.4</v>
      </c>
      <c r="E68" s="17" t="n">
        <v>3.5</v>
      </c>
      <c r="F68" s="17" t="n">
        <v>1.4</v>
      </c>
      <c r="G68" s="36" t="n">
        <f aca="false">D68-E68+F68</f>
        <v>-0.7</v>
      </c>
    </row>
    <row r="69" customFormat="false" ht="15" hidden="false" customHeight="false" outlineLevel="0" collapsed="false">
      <c r="A69" s="37" t="s">
        <v>327</v>
      </c>
      <c r="B69" s="38" t="n">
        <f aca="false">SUM(B64:B68)</f>
        <v>67.7</v>
      </c>
      <c r="C69" s="38" t="n">
        <f aca="false">SUM(C64:C68)</f>
        <v>35.6999999999999</v>
      </c>
      <c r="D69" s="38" t="n">
        <f aca="false">SUM(D64:D68)</f>
        <v>191.7</v>
      </c>
      <c r="E69" s="38" t="n">
        <f aca="false">SUM(E64:E68)</f>
        <v>107.7</v>
      </c>
      <c r="F69" s="38" t="n">
        <f aca="false">SUM(F64:F68)</f>
        <v>90.1000000000001</v>
      </c>
      <c r="G69" s="38" t="n">
        <f aca="false">SUM(G64:G68)</f>
        <v>174.1</v>
      </c>
    </row>
    <row r="70" customFormat="false" ht="15" hidden="false" customHeight="false" outlineLevel="0" collapsed="false">
      <c r="A70" s="8" t="s">
        <v>328</v>
      </c>
      <c r="B70" s="17" t="n">
        <v>26.5</v>
      </c>
      <c r="C70" s="17" t="n">
        <v>15.8</v>
      </c>
      <c r="D70" s="17" t="n">
        <v>9.3</v>
      </c>
      <c r="E70" s="17" t="n">
        <v>2</v>
      </c>
      <c r="F70" s="17" t="n">
        <v>2.2</v>
      </c>
      <c r="G70" s="36" t="n">
        <f aca="false">D70-E70+F70</f>
        <v>9.5</v>
      </c>
      <c r="H70" s="2" t="s">
        <v>329</v>
      </c>
    </row>
    <row r="71" customFormat="false" ht="15" hidden="false" customHeight="false" outlineLevel="0" collapsed="false">
      <c r="A71" s="37" t="s">
        <v>330</v>
      </c>
      <c r="B71" s="38" t="n">
        <f aca="false">B69-B70</f>
        <v>41.2</v>
      </c>
      <c r="C71" s="38" t="n">
        <f aca="false">C69-C70</f>
        <v>19.8999999999999</v>
      </c>
      <c r="D71" s="38" t="n">
        <f aca="false">D69-D70</f>
        <v>182.4</v>
      </c>
      <c r="E71" s="38" t="n">
        <f aca="false">E69-E70</f>
        <v>105.7</v>
      </c>
      <c r="F71" s="38" t="n">
        <f aca="false">F69-F70</f>
        <v>87.9000000000001</v>
      </c>
      <c r="G71" s="38" t="n">
        <f aca="false">G69-G70</f>
        <v>164.6</v>
      </c>
    </row>
    <row r="72" customFormat="false" ht="15" hidden="false" customHeight="false" outlineLevel="0" collapsed="false">
      <c r="A72" s="8" t="s">
        <v>331</v>
      </c>
      <c r="B72" s="17" t="n">
        <v>0</v>
      </c>
      <c r="C72" s="17" t="n">
        <v>0</v>
      </c>
      <c r="D72" s="17" t="n">
        <v>0</v>
      </c>
      <c r="E72" s="17" t="n">
        <v>0</v>
      </c>
      <c r="F72" s="17" t="n">
        <v>-128.4</v>
      </c>
      <c r="G72" s="36" t="n">
        <f aca="false">D72-E72+F72</f>
        <v>-128.4</v>
      </c>
    </row>
    <row r="73" customFormat="false" ht="15" hidden="false" customHeight="false" outlineLevel="0" collapsed="false">
      <c r="A73" s="8" t="s">
        <v>332</v>
      </c>
      <c r="B73" s="17" t="n">
        <v>0</v>
      </c>
      <c r="C73" s="17" t="n">
        <v>0</v>
      </c>
      <c r="D73" s="17" t="n">
        <v>0</v>
      </c>
      <c r="E73" s="17" t="n">
        <v>0</v>
      </c>
      <c r="F73" s="17" t="n">
        <v>10.1</v>
      </c>
      <c r="G73" s="36" t="n">
        <f aca="false">D73-E73+F73</f>
        <v>10.1</v>
      </c>
    </row>
    <row r="74" customFormat="false" ht="15" hidden="false" customHeight="false" outlineLevel="0" collapsed="false">
      <c r="A74" s="8" t="s">
        <v>333</v>
      </c>
      <c r="B74" s="17" t="n">
        <v>-9.5</v>
      </c>
      <c r="C74" s="17" t="n">
        <v>-34.6</v>
      </c>
      <c r="D74" s="17" t="n">
        <v>-184.6</v>
      </c>
      <c r="E74" s="17" t="n">
        <v>-112.2</v>
      </c>
      <c r="F74" s="17" t="n">
        <v>-77.4</v>
      </c>
      <c r="G74" s="36" t="n">
        <f aca="false">D74-E74+F74</f>
        <v>-149.8</v>
      </c>
      <c r="H74" s="2" t="s">
        <v>334</v>
      </c>
    </row>
    <row r="75" customFormat="false" ht="15" hidden="false" customHeight="false" outlineLevel="0" collapsed="false">
      <c r="A75" s="8" t="s">
        <v>335</v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129.9</v>
      </c>
      <c r="G75" s="36" t="n">
        <f aca="false">D75-E75+F75</f>
        <v>129.9</v>
      </c>
      <c r="H75" s="2" t="s">
        <v>336</v>
      </c>
    </row>
    <row r="76" customFormat="false" ht="15" hidden="false" customHeight="false" outlineLevel="0" collapsed="false">
      <c r="A76" s="8" t="s">
        <v>337</v>
      </c>
      <c r="B76" s="17" t="n">
        <v>-34.4</v>
      </c>
      <c r="C76" s="17" t="n">
        <v>-34.5</v>
      </c>
      <c r="D76" s="17" t="n">
        <v>-35</v>
      </c>
      <c r="E76" s="17" t="n">
        <v>-26.2</v>
      </c>
      <c r="F76" s="17" t="n">
        <v>-18.4</v>
      </c>
      <c r="G76" s="36" t="n">
        <f aca="false">D76-E76+F76</f>
        <v>-27.2</v>
      </c>
    </row>
    <row r="77" customFormat="false" ht="15" hidden="false" customHeight="false" outlineLevel="0" collapsed="false">
      <c r="A77" s="8" t="s">
        <v>338</v>
      </c>
      <c r="B77" s="17" t="n">
        <v>0</v>
      </c>
      <c r="C77" s="17" t="n">
        <v>0</v>
      </c>
      <c r="D77" s="17" t="n">
        <v>0</v>
      </c>
      <c r="E77" s="17" t="n">
        <v>0</v>
      </c>
      <c r="F77" s="17" t="n">
        <v>-8.7</v>
      </c>
      <c r="G77" s="36" t="n">
        <f aca="false">D77-E77+F77</f>
        <v>-8.7</v>
      </c>
    </row>
    <row r="78" customFormat="false" ht="15" hidden="false" customHeight="false" outlineLevel="0" collapsed="false">
      <c r="A78" s="8" t="s">
        <v>339</v>
      </c>
      <c r="B78" s="17" t="n">
        <v>-4.8</v>
      </c>
      <c r="C78" s="17" t="n">
        <v>-4.3</v>
      </c>
      <c r="D78" s="17" t="n">
        <v>-7.1</v>
      </c>
      <c r="E78" s="17" t="n">
        <v>-6.7</v>
      </c>
      <c r="F78" s="17" t="n">
        <v>-6.1</v>
      </c>
      <c r="G78" s="36" t="n">
        <f aca="false">D78-E78+F78</f>
        <v>-6.5</v>
      </c>
    </row>
    <row r="79" customFormat="false" ht="15" hidden="false" customHeight="false" outlineLevel="0" collapsed="false">
      <c r="A79" s="8" t="s">
        <v>340</v>
      </c>
      <c r="B79" s="17" t="n">
        <v>3.1</v>
      </c>
      <c r="C79" s="17" t="n">
        <v>1.2</v>
      </c>
      <c r="D79" s="17" t="n">
        <v>-1.3</v>
      </c>
      <c r="E79" s="17" t="n">
        <v>-1.2</v>
      </c>
      <c r="F79" s="17" t="n">
        <v>0.7</v>
      </c>
      <c r="G79" s="36" t="n">
        <f aca="false">D79-E79+F79</f>
        <v>0.6</v>
      </c>
    </row>
    <row r="80" customFormat="false" ht="15" hidden="false" customHeight="false" outlineLevel="0" collapsed="false">
      <c r="A80" s="37" t="s">
        <v>341</v>
      </c>
      <c r="B80" s="38" t="n">
        <f aca="false">B71+SUM(B72:B79)</f>
        <v>-4.40000000000003</v>
      </c>
      <c r="C80" s="38" t="n">
        <f aca="false">C71+SUM(C72:C79)</f>
        <v>-52.3000000000001</v>
      </c>
      <c r="D80" s="38" t="n">
        <f aca="false">D71+SUM(D72:D79)</f>
        <v>-45.5999999999999</v>
      </c>
      <c r="E80" s="38" t="n">
        <f aca="false">E71+SUM(E72:E79)</f>
        <v>-40.6000000000001</v>
      </c>
      <c r="F80" s="38" t="n">
        <f aca="false">F71+SUM(F72:F79)</f>
        <v>-10.3999999999999</v>
      </c>
      <c r="G80" s="38" t="n">
        <f aca="false">G71+SUM(G72:G79)</f>
        <v>-15.3999999999998</v>
      </c>
    </row>
    <row r="81" customFormat="false" ht="15" hidden="false" customHeight="false" outlineLevel="0" collapsed="false">
      <c r="A81" s="8" t="s">
        <v>342</v>
      </c>
      <c r="B81" s="17" t="n">
        <v>330.9</v>
      </c>
      <c r="C81" s="17" t="n">
        <v>326.5</v>
      </c>
      <c r="D81" s="17" t="n">
        <v>274.2</v>
      </c>
      <c r="E81" s="17" t="n">
        <v>274.2</v>
      </c>
      <c r="F81" s="17" t="n">
        <v>228.6</v>
      </c>
    </row>
    <row r="82" customFormat="false" ht="15" hidden="false" customHeight="false" outlineLevel="0" collapsed="false">
      <c r="A82" s="37" t="s">
        <v>343</v>
      </c>
      <c r="B82" s="38" t="n">
        <f aca="false">B81+B80</f>
        <v>326.5</v>
      </c>
      <c r="C82" s="38" t="n">
        <f aca="false">C81+C80</f>
        <v>274.2</v>
      </c>
      <c r="D82" s="38" t="n">
        <f aca="false">D81+D80</f>
        <v>228.6</v>
      </c>
      <c r="E82" s="38" t="n">
        <f aca="false">E81+E80</f>
        <v>233.6</v>
      </c>
      <c r="F82" s="38" t="n">
        <f aca="false">F81+F80</f>
        <v>218.2</v>
      </c>
      <c r="G82" s="40"/>
    </row>
    <row r="83" customFormat="false" ht="15" hidden="false" customHeight="false" outlineLevel="0" collapsed="false">
      <c r="A83" s="8" t="s">
        <v>344</v>
      </c>
      <c r="B83" s="17" t="n">
        <v>326.5</v>
      </c>
      <c r="C83" s="17" t="n">
        <v>274.2</v>
      </c>
      <c r="D83" s="17" t="n">
        <v>228.6</v>
      </c>
      <c r="E83" s="17" t="n">
        <v>233.6</v>
      </c>
      <c r="F83" s="17" t="n">
        <v>218.2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8" topLeftCell="B19" activePane="bottomRight" state="frozen"/>
      <selection pane="topLeft" activeCell="A1" activeCellId="0" sqref="A1"/>
      <selection pane="topRight" activeCell="B1" activeCellId="0" sqref="B1"/>
      <selection pane="bottomLeft" activeCell="A19" activeCellId="0" sqref="A1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" t="s">
        <v>345</v>
      </c>
    </row>
    <row r="2" customFormat="false" ht="15" hidden="false" customHeight="false" outlineLevel="0" collapsed="false">
      <c r="A2" s="2" t="s">
        <v>346</v>
      </c>
    </row>
    <row r="4" customFormat="false" ht="15" hidden="false" customHeight="false" outlineLevel="0" collapsed="false">
      <c r="A4" s="6" t="s">
        <v>347</v>
      </c>
      <c r="B4" s="7" t="s">
        <v>292</v>
      </c>
      <c r="C4" s="7" t="s">
        <v>293</v>
      </c>
      <c r="D4" s="7" t="s">
        <v>348</v>
      </c>
      <c r="E4" s="7" t="s">
        <v>349</v>
      </c>
      <c r="F4" s="7" t="s">
        <v>350</v>
      </c>
      <c r="G4" s="7" t="s">
        <v>351</v>
      </c>
      <c r="H4" s="7" t="s">
        <v>352</v>
      </c>
      <c r="I4" s="7" t="s">
        <v>353</v>
      </c>
      <c r="J4" s="7" t="s">
        <v>272</v>
      </c>
    </row>
    <row r="5" customFormat="false" ht="15" hidden="false" customHeight="false" outlineLevel="0" collapsed="false">
      <c r="A5" s="8" t="s">
        <v>354</v>
      </c>
      <c r="B5" s="17" t="n">
        <v>716.8</v>
      </c>
      <c r="C5" s="17" t="n">
        <v>639.4</v>
      </c>
      <c r="D5" s="20" t="s">
        <v>355</v>
      </c>
      <c r="E5" s="41" t="n">
        <v>0.03</v>
      </c>
      <c r="F5" s="41" t="n">
        <v>0.005</v>
      </c>
      <c r="G5" s="42" t="n">
        <v>47208</v>
      </c>
      <c r="H5" s="31" t="n">
        <v>2029</v>
      </c>
      <c r="J5" s="2" t="s">
        <v>356</v>
      </c>
    </row>
    <row r="6" customFormat="false" ht="15" hidden="false" customHeight="false" outlineLevel="0" collapsed="false">
      <c r="A6" s="8" t="s">
        <v>357</v>
      </c>
      <c r="B6" s="17" t="n">
        <v>500</v>
      </c>
      <c r="C6" s="17" t="n">
        <v>500</v>
      </c>
      <c r="D6" s="20" t="s">
        <v>358</v>
      </c>
      <c r="E6" s="41" t="n">
        <v>0.05</v>
      </c>
      <c r="G6" s="42" t="n">
        <v>47529</v>
      </c>
      <c r="H6" s="31" t="n">
        <v>2030</v>
      </c>
      <c r="J6" s="2" t="s">
        <v>359</v>
      </c>
    </row>
    <row r="7" customFormat="false" ht="15" hidden="false" customHeight="false" outlineLevel="0" collapsed="false">
      <c r="A7" s="8" t="s">
        <v>360</v>
      </c>
      <c r="B7" s="17" t="n">
        <v>200</v>
      </c>
      <c r="C7" s="17" t="n">
        <v>200</v>
      </c>
      <c r="D7" s="20" t="s">
        <v>358</v>
      </c>
      <c r="E7" s="41" t="n">
        <v>0.0675</v>
      </c>
      <c r="G7" s="42" t="n">
        <v>47529</v>
      </c>
      <c r="H7" s="31" t="n">
        <v>2030</v>
      </c>
      <c r="J7" s="2" t="s">
        <v>361</v>
      </c>
    </row>
    <row r="8" customFormat="false" ht="15" hidden="false" customHeight="false" outlineLevel="0" collapsed="false">
      <c r="A8" s="8" t="s">
        <v>362</v>
      </c>
      <c r="D8" s="20" t="s">
        <v>355</v>
      </c>
      <c r="E8" s="41" t="n">
        <v>0.03</v>
      </c>
      <c r="F8" s="41" t="n">
        <v>0.005</v>
      </c>
      <c r="G8" s="42" t="n">
        <v>46477</v>
      </c>
      <c r="H8" s="31" t="n">
        <v>2027</v>
      </c>
      <c r="I8" s="17" t="n">
        <v>100</v>
      </c>
      <c r="J8" s="2" t="s">
        <v>363</v>
      </c>
    </row>
    <row r="9" customFormat="false" ht="15" hidden="false" customHeight="false" outlineLevel="0" collapsed="false">
      <c r="A9" s="8" t="s">
        <v>364</v>
      </c>
      <c r="D9" s="20" t="s">
        <v>355</v>
      </c>
      <c r="E9" s="41" t="n">
        <v>0.035</v>
      </c>
      <c r="F9" s="41" t="n">
        <v>0.005</v>
      </c>
      <c r="G9" s="42" t="n">
        <v>47117</v>
      </c>
      <c r="H9" s="31" t="n">
        <v>2029</v>
      </c>
      <c r="I9" s="17" t="n">
        <v>210</v>
      </c>
      <c r="J9" s="2" t="s">
        <v>365</v>
      </c>
    </row>
    <row r="10" customFormat="false" ht="15" hidden="false" customHeight="false" outlineLevel="0" collapsed="false">
      <c r="A10" s="8" t="s">
        <v>366</v>
      </c>
      <c r="B10" s="17" t="n">
        <v>0</v>
      </c>
      <c r="C10" s="17" t="n">
        <v>129.9</v>
      </c>
      <c r="D10" s="20" t="s">
        <v>355</v>
      </c>
      <c r="J10" s="2" t="s">
        <v>367</v>
      </c>
    </row>
    <row r="11" customFormat="false" ht="15" hidden="false" customHeight="false" outlineLevel="0" collapsed="false">
      <c r="A11" s="37" t="s">
        <v>368</v>
      </c>
      <c r="B11" s="38" t="n">
        <f aca="false">B5+B6+B7+B10</f>
        <v>1416.8</v>
      </c>
      <c r="C11" s="38" t="n">
        <f aca="false">C5+C6+C7+C10</f>
        <v>1469.3</v>
      </c>
      <c r="I11" s="38" t="n">
        <f aca="false">I8+I9</f>
        <v>310</v>
      </c>
    </row>
    <row r="12" customFormat="false" ht="15" hidden="false" customHeight="false" outlineLevel="0" collapsed="false">
      <c r="A12" s="8" t="s">
        <v>369</v>
      </c>
      <c r="B12" s="17" t="n">
        <v>1416.8</v>
      </c>
      <c r="C12" s="17" t="n">
        <v>1469.3</v>
      </c>
      <c r="J12" s="2" t="s">
        <v>370</v>
      </c>
    </row>
    <row r="13" customFormat="false" ht="15" hidden="false" customHeight="false" outlineLevel="0" collapsed="false">
      <c r="A13" s="8" t="s">
        <v>371</v>
      </c>
      <c r="B13" s="17" t="n">
        <v>18.6</v>
      </c>
      <c r="C13" s="17" t="n">
        <v>14.2</v>
      </c>
      <c r="J13" s="2" t="s">
        <v>372</v>
      </c>
    </row>
    <row r="14" customFormat="false" ht="15" hidden="false" customHeight="false" outlineLevel="0" collapsed="false">
      <c r="A14" s="8" t="s">
        <v>373</v>
      </c>
      <c r="B14" s="17" t="n">
        <v>500</v>
      </c>
      <c r="J14" s="2" t="s">
        <v>374</v>
      </c>
    </row>
    <row r="15" customFormat="false" ht="15" hidden="false" customHeight="false" outlineLevel="0" collapsed="false">
      <c r="A15" s="8" t="s">
        <v>375</v>
      </c>
      <c r="B15" s="17" t="n">
        <v>9.5</v>
      </c>
      <c r="J15" s="2" t="s">
        <v>376</v>
      </c>
    </row>
    <row r="16" customFormat="false" ht="15" hidden="false" customHeight="false" outlineLevel="0" collapsed="false">
      <c r="A16" s="8" t="s">
        <v>377</v>
      </c>
      <c r="B16" s="17" t="n">
        <v>1186.2</v>
      </c>
      <c r="C16" s="17" t="n">
        <v>1455.1</v>
      </c>
      <c r="D16" s="26" t="n">
        <f aca="false">B16/C16</f>
        <v>0.815201704350217</v>
      </c>
      <c r="J16" s="2" t="s">
        <v>378</v>
      </c>
    </row>
    <row r="18" customFormat="false" ht="15" hidden="false" customHeight="false" outlineLevel="0" collapsed="false">
      <c r="A18" s="6" t="s">
        <v>379</v>
      </c>
      <c r="B18" s="7" t="s">
        <v>232</v>
      </c>
      <c r="C18" s="7" t="s">
        <v>103</v>
      </c>
      <c r="D18" s="7" t="s">
        <v>104</v>
      </c>
      <c r="E18" s="7" t="s">
        <v>105</v>
      </c>
      <c r="F18" s="7" t="s">
        <v>106</v>
      </c>
      <c r="G18" s="7" t="s">
        <v>107</v>
      </c>
    </row>
    <row r="19" customFormat="false" ht="15" hidden="false" customHeight="false" outlineLevel="0" collapsed="false">
      <c r="A19" s="8" t="s">
        <v>380</v>
      </c>
      <c r="B19" s="31" t="n">
        <v>2025</v>
      </c>
      <c r="C19" s="43" t="n">
        <f aca="false">B19+1</f>
        <v>2026</v>
      </c>
      <c r="D19" s="43" t="n">
        <f aca="false">C19+1</f>
        <v>2027</v>
      </c>
      <c r="E19" s="43" t="n">
        <f aca="false">D19+1</f>
        <v>2028</v>
      </c>
      <c r="F19" s="43" t="n">
        <f aca="false">E19+1</f>
        <v>2029</v>
      </c>
      <c r="G19" s="43" t="n">
        <f aca="false">F19+1</f>
        <v>2030</v>
      </c>
    </row>
    <row r="20" customFormat="false" ht="15" hidden="false" customHeight="false" outlineLevel="0" collapsed="false">
      <c r="A20" s="24" t="s">
        <v>381</v>
      </c>
      <c r="B20" s="25"/>
      <c r="C20" s="25"/>
      <c r="D20" s="25"/>
      <c r="E20" s="25"/>
      <c r="F20" s="25"/>
      <c r="G20" s="25"/>
    </row>
    <row r="21" customFormat="false" ht="15" hidden="false" customHeight="false" outlineLevel="0" collapsed="false">
      <c r="A21" s="8" t="s">
        <v>382</v>
      </c>
      <c r="B21" s="36" t="n">
        <f aca="false">B14</f>
        <v>500</v>
      </c>
      <c r="C21" s="36" t="n">
        <f aca="false">IF(C$19&lt;$H$8,$I$8,0)+IF(OR(C$19&lt;$H$9,Drivers!C$129=1),$I$9,0)</f>
        <v>310</v>
      </c>
      <c r="D21" s="36" t="n">
        <f aca="false">IF(D$19&lt;$H$8,$I$8,0)+IF(OR(D$19&lt;$H$9,Drivers!D$129=1),$I$9,0)</f>
        <v>210</v>
      </c>
      <c r="E21" s="36" t="n">
        <f aca="false">IF(E$19&lt;$H$8,$I$8,0)+IF(OR(E$19&lt;$H$9,Drivers!E$129=1),$I$9,0)</f>
        <v>210</v>
      </c>
      <c r="F21" s="36" t="n">
        <f aca="false">IF(F$19&lt;$H$8,$I$8,0)+IF(OR(F$19&lt;$H$9,Drivers!F$129=1),$I$9,0)</f>
        <v>210</v>
      </c>
      <c r="G21" s="36" t="n">
        <f aca="false">IF(G$19&lt;$H$8,$I$8,0)+IF(OR(G$19&lt;$H$9,Drivers!G$129=1),$I$9,0)</f>
        <v>210</v>
      </c>
      <c r="J21" s="2" t="s">
        <v>383</v>
      </c>
    </row>
    <row r="22" customFormat="false" ht="15" hidden="false" customHeight="false" outlineLevel="0" collapsed="false">
      <c r="A22" s="24" t="s">
        <v>384</v>
      </c>
      <c r="B22" s="25"/>
      <c r="C22" s="25"/>
      <c r="D22" s="25"/>
      <c r="E22" s="25"/>
      <c r="F22" s="25"/>
      <c r="G22" s="25"/>
    </row>
    <row r="23" customFormat="false" ht="15" hidden="false" customHeight="false" outlineLevel="0" collapsed="false">
      <c r="A23" s="8" t="s">
        <v>385</v>
      </c>
      <c r="C23" s="9" t="n">
        <f aca="false">Model!C71</f>
        <v>185.164354393391</v>
      </c>
      <c r="D23" s="9" t="n">
        <f aca="false">Model!D71</f>
        <v>351.705218415393</v>
      </c>
      <c r="E23" s="9" t="n">
        <f aca="false">Model!E71</f>
        <v>359.188256342195</v>
      </c>
      <c r="F23" s="9" t="n">
        <f aca="false">Model!F71</f>
        <v>363.851941716154</v>
      </c>
      <c r="G23" s="9" t="n">
        <f aca="false">Model!G71</f>
        <v>355.052378856658</v>
      </c>
    </row>
    <row r="24" customFormat="false" ht="15" hidden="false" customHeight="false" outlineLevel="0" collapsed="false">
      <c r="A24" s="8" t="s">
        <v>386</v>
      </c>
      <c r="C24" s="36" t="n">
        <f aca="false">-C36</f>
        <v>-9.5</v>
      </c>
      <c r="D24" s="36" t="n">
        <f aca="false">-D36</f>
        <v>-9.5</v>
      </c>
      <c r="E24" s="36" t="n">
        <f aca="false">-E36</f>
        <v>-9.5</v>
      </c>
      <c r="F24" s="36" t="n">
        <f aca="false">-F36</f>
        <v>-9.5</v>
      </c>
      <c r="G24" s="36" t="n">
        <f aca="false">-G36</f>
        <v>-0</v>
      </c>
    </row>
    <row r="25" customFormat="false" ht="15" hidden="false" customHeight="false" outlineLevel="0" collapsed="false">
      <c r="A25" s="8" t="s">
        <v>387</v>
      </c>
      <c r="C25" s="36" t="n">
        <f aca="false">-(C37+C42+C46)*(1-Drivers!C$129)</f>
        <v>-0</v>
      </c>
      <c r="D25" s="36" t="n">
        <f aca="false">-(D37+D42+D46)*(1-Drivers!D$129)</f>
        <v>-0</v>
      </c>
      <c r="E25" s="36" t="n">
        <f aca="false">-(E37+E42+E46)*(1-Drivers!E$129)</f>
        <v>-0</v>
      </c>
      <c r="F25" s="36" t="n">
        <f aca="false">-(F37+F42+F46)*(1-Drivers!F$129)</f>
        <v>-0</v>
      </c>
      <c r="G25" s="36" t="n">
        <f aca="false">-(G37+G42+G46)*(1-Drivers!G$129)</f>
        <v>-0</v>
      </c>
    </row>
    <row r="26" customFormat="false" ht="15" hidden="false" customHeight="false" outlineLevel="0" collapsed="false">
      <c r="A26" s="8" t="s">
        <v>388</v>
      </c>
      <c r="C26" s="36" t="n">
        <f aca="false">-C55</f>
        <v>-0</v>
      </c>
      <c r="D26" s="36" t="n">
        <f aca="false">-D55</f>
        <v>-0</v>
      </c>
      <c r="E26" s="36" t="n">
        <f aca="false">-E55</f>
        <v>-0</v>
      </c>
      <c r="F26" s="36" t="n">
        <f aca="false">-F55</f>
        <v>-0</v>
      </c>
      <c r="G26" s="36" t="n">
        <f aca="false">-G55</f>
        <v>-0</v>
      </c>
    </row>
    <row r="27" customFormat="false" ht="15" hidden="false" customHeight="false" outlineLevel="0" collapsed="false">
      <c r="A27" s="37" t="s">
        <v>389</v>
      </c>
      <c r="B27" s="40"/>
      <c r="C27" s="38" t="n">
        <f aca="false">SUM(C23:C26)</f>
        <v>175.664354393391</v>
      </c>
      <c r="D27" s="38" t="n">
        <f aca="false">SUM(D23:D26)</f>
        <v>342.205218415393</v>
      </c>
      <c r="E27" s="38" t="n">
        <f aca="false">SUM(E23:E26)</f>
        <v>349.688256342195</v>
      </c>
      <c r="F27" s="38" t="n">
        <f aca="false">SUM(F23:F26)</f>
        <v>354.351941716154</v>
      </c>
      <c r="G27" s="38" t="n">
        <f aca="false">SUM(G23:G26)</f>
        <v>355.052378856658</v>
      </c>
    </row>
    <row r="28" customFormat="false" ht="15" hidden="false" customHeight="false" outlineLevel="0" collapsed="false">
      <c r="A28" s="8" t="s">
        <v>390</v>
      </c>
      <c r="C28" s="9" t="n">
        <f aca="false">Drivers!C$114</f>
        <v>200</v>
      </c>
      <c r="D28" s="9" t="n">
        <f aca="false">Drivers!D$114</f>
        <v>200</v>
      </c>
      <c r="E28" s="9" t="n">
        <f aca="false">Drivers!E$114</f>
        <v>200</v>
      </c>
      <c r="F28" s="9" t="n">
        <f aca="false">Drivers!F$114</f>
        <v>200</v>
      </c>
      <c r="G28" s="9" t="n">
        <f aca="false">Drivers!G$114</f>
        <v>200</v>
      </c>
    </row>
    <row r="29" customFormat="false" ht="15" hidden="false" customHeight="false" outlineLevel="0" collapsed="false">
      <c r="A29" s="8" t="s">
        <v>391</v>
      </c>
      <c r="C29" s="36" t="n">
        <f aca="false">C27-C28</f>
        <v>-24.3356456066094</v>
      </c>
      <c r="D29" s="36" t="n">
        <f aca="false">D27-D28</f>
        <v>142.205218415393</v>
      </c>
      <c r="E29" s="36" t="n">
        <f aca="false">E27-E28</f>
        <v>149.688256342195</v>
      </c>
      <c r="F29" s="36" t="n">
        <f aca="false">F27-F28</f>
        <v>154.351941716154</v>
      </c>
      <c r="G29" s="36" t="n">
        <f aca="false">G27-G28</f>
        <v>155.052378856658</v>
      </c>
    </row>
    <row r="30" customFormat="false" ht="15" hidden="false" customHeight="false" outlineLevel="0" collapsed="false">
      <c r="A30" s="8" t="s">
        <v>392</v>
      </c>
      <c r="C30" s="36" t="n">
        <f aca="false">IF(C29&lt;0,MIN(-C29,C21-(C54-C55)),0)</f>
        <v>24.3356456066094</v>
      </c>
      <c r="D30" s="36" t="n">
        <f aca="false">IF(D29&lt;0,MIN(-D29,D21-(D54-D55)),0)</f>
        <v>0</v>
      </c>
      <c r="E30" s="36" t="n">
        <f aca="false">IF(E29&lt;0,MIN(-E29,E21-(E54-E55)),0)</f>
        <v>0</v>
      </c>
      <c r="F30" s="36" t="n">
        <f aca="false">IF(F29&lt;0,MIN(-F29,F21-(F54-F55)),0)</f>
        <v>0</v>
      </c>
      <c r="G30" s="36" t="n">
        <f aca="false">IF(G29&lt;0,MIN(-G29,G21-(G54-G55)),0)</f>
        <v>0</v>
      </c>
    </row>
    <row r="31" customFormat="false" ht="15" hidden="false" customHeight="false" outlineLevel="0" collapsed="false">
      <c r="A31" s="8" t="s">
        <v>393</v>
      </c>
      <c r="C31" s="36" t="n">
        <f aca="false">IF(C29&gt;0,MIN(C29,C54-C55),0)</f>
        <v>0</v>
      </c>
      <c r="D31" s="36" t="n">
        <f aca="false">IF(D29&gt;0,MIN(D29,D54-D55),0)</f>
        <v>24.3356456066094</v>
      </c>
      <c r="E31" s="36" t="n">
        <f aca="false">IF(E29&gt;0,MIN(E29,E54-E55),0)</f>
        <v>0</v>
      </c>
      <c r="F31" s="36" t="n">
        <f aca="false">IF(F29&gt;0,MIN(F29,F54-F55),0)</f>
        <v>0</v>
      </c>
      <c r="G31" s="36" t="n">
        <f aca="false">IF(G29&gt;0,MIN(G29,G54-G55),0)</f>
        <v>0</v>
      </c>
    </row>
    <row r="32" customFormat="false" ht="15" hidden="false" customHeight="false" outlineLevel="0" collapsed="false">
      <c r="A32" s="8" t="s">
        <v>394</v>
      </c>
      <c r="C32" s="36" t="n">
        <f aca="false">MAX(0,C29-C31)*Drivers!C$119</f>
        <v>0</v>
      </c>
      <c r="D32" s="36" t="n">
        <f aca="false">MAX(0,D29-D31)*Drivers!D$119</f>
        <v>117.869572808783</v>
      </c>
      <c r="E32" s="36" t="n">
        <f aca="false">MAX(0,E29-E31)*Drivers!E$119</f>
        <v>149.688256342195</v>
      </c>
      <c r="F32" s="36" t="n">
        <f aca="false">MAX(0,F29-F31)*Drivers!F$119</f>
        <v>154.351941716154</v>
      </c>
      <c r="G32" s="36" t="n">
        <f aca="false">MAX(0,G29-G31)*Drivers!G$119</f>
        <v>155.052378856658</v>
      </c>
    </row>
    <row r="33" customFormat="false" ht="15" hidden="false" customHeight="false" outlineLevel="0" collapsed="false">
      <c r="A33" s="3" t="s">
        <v>395</v>
      </c>
      <c r="C33" s="27" t="n">
        <f aca="false">MAX(0,-(C29+C30))</f>
        <v>-0</v>
      </c>
      <c r="D33" s="27" t="n">
        <f aca="false">MAX(0,-(D29+D30))</f>
        <v>0</v>
      </c>
      <c r="E33" s="27" t="n">
        <f aca="false">MAX(0,-(E29+E30))</f>
        <v>0</v>
      </c>
      <c r="F33" s="27" t="n">
        <f aca="false">MAX(0,-(F29+F30))</f>
        <v>0</v>
      </c>
      <c r="G33" s="27" t="n">
        <f aca="false">MAX(0,-(G29+G30))</f>
        <v>0</v>
      </c>
    </row>
    <row r="34" customFormat="false" ht="15" hidden="false" customHeight="false" outlineLevel="0" collapsed="false">
      <c r="A34" s="24" t="s">
        <v>396</v>
      </c>
      <c r="B34" s="25"/>
      <c r="C34" s="25"/>
      <c r="D34" s="25"/>
      <c r="E34" s="25"/>
      <c r="F34" s="25"/>
      <c r="G34" s="25"/>
    </row>
    <row r="35" customFormat="false" ht="15" hidden="false" customHeight="false" outlineLevel="0" collapsed="false">
      <c r="A35" s="8" t="s">
        <v>397</v>
      </c>
      <c r="C35" s="36" t="n">
        <f aca="false">B39</f>
        <v>716.8</v>
      </c>
      <c r="D35" s="36" t="n">
        <f aca="false">C39</f>
        <v>707.3</v>
      </c>
      <c r="E35" s="36" t="n">
        <f aca="false">D39</f>
        <v>579.930427191217</v>
      </c>
      <c r="F35" s="36" t="n">
        <f aca="false">E39</f>
        <v>420.742170849022</v>
      </c>
      <c r="G35" s="36" t="n">
        <f aca="false">F39</f>
        <v>0</v>
      </c>
    </row>
    <row r="36" customFormat="false" ht="15" hidden="false" customHeight="false" outlineLevel="0" collapsed="false">
      <c r="A36" s="8" t="s">
        <v>398</v>
      </c>
      <c r="C36" s="36" t="n">
        <f aca="false">IF(C$19&lt;=$H$5,MIN(C35,$B$15),0)</f>
        <v>9.5</v>
      </c>
      <c r="D36" s="36" t="n">
        <f aca="false">IF(D$19&lt;=$H$5,MIN(D35,$B$15),0)</f>
        <v>9.5</v>
      </c>
      <c r="E36" s="36" t="n">
        <f aca="false">IF(E$19&lt;=$H$5,MIN(E35,$B$15),0)</f>
        <v>9.5</v>
      </c>
      <c r="F36" s="36" t="n">
        <f aca="false">IF(F$19&lt;=$H$5,MIN(F35,$B$15),0)</f>
        <v>9.5</v>
      </c>
      <c r="G36" s="36" t="n">
        <f aca="false">IF(G$19&lt;=$H$5,MIN(G35,$B$15),0)</f>
        <v>0</v>
      </c>
    </row>
    <row r="37" customFormat="false" ht="15" hidden="false" customHeight="false" outlineLevel="0" collapsed="false">
      <c r="A37" s="8" t="s">
        <v>399</v>
      </c>
      <c r="C37" s="36" t="n">
        <f aca="false">IF(C$19=$H$5,C35-C36,0)</f>
        <v>0</v>
      </c>
      <c r="D37" s="36" t="n">
        <f aca="false">IF(D$19=$H$5,D35-D36,0)</f>
        <v>0</v>
      </c>
      <c r="E37" s="36" t="n">
        <f aca="false">IF(E$19=$H$5,E35-E36,0)</f>
        <v>0</v>
      </c>
      <c r="F37" s="36" t="n">
        <f aca="false">IF(F$19=$H$5,F35-F36,0)</f>
        <v>411.242170849022</v>
      </c>
      <c r="G37" s="36" t="n">
        <f aca="false">IF(G$19=$H$5,G35-G36,0)</f>
        <v>0</v>
      </c>
    </row>
    <row r="38" customFormat="false" ht="15" hidden="false" customHeight="false" outlineLevel="0" collapsed="false">
      <c r="A38" s="8" t="s">
        <v>400</v>
      </c>
      <c r="C38" s="36" t="n">
        <f aca="false">IF(C$19&lt;$H$5,MIN(C32,C35-C36),0)</f>
        <v>0</v>
      </c>
      <c r="D38" s="36" t="n">
        <f aca="false">IF(D$19&lt;$H$5,MIN(D32,D35-D36),0)</f>
        <v>117.869572808783</v>
      </c>
      <c r="E38" s="36" t="n">
        <f aca="false">IF(E$19&lt;$H$5,MIN(E32,E35-E36),0)</f>
        <v>149.688256342195</v>
      </c>
      <c r="F38" s="36" t="n">
        <f aca="false">IF(F$19&lt;$H$5,MIN(F32,F35-F36),0)</f>
        <v>0</v>
      </c>
      <c r="G38" s="36" t="n">
        <f aca="false">IF(G$19&lt;$H$5,MIN(G32,G35-G36),0)</f>
        <v>0</v>
      </c>
    </row>
    <row r="39" customFormat="false" ht="15" hidden="false" customHeight="false" outlineLevel="0" collapsed="false">
      <c r="A39" s="37" t="s">
        <v>401</v>
      </c>
      <c r="B39" s="44" t="n">
        <f aca="false">B5</f>
        <v>716.8</v>
      </c>
      <c r="C39" s="38" t="n">
        <f aca="false">C35-C36-C37-C38</f>
        <v>707.3</v>
      </c>
      <c r="D39" s="38" t="n">
        <f aca="false">D35-D36-D37-D38</f>
        <v>579.930427191217</v>
      </c>
      <c r="E39" s="38" t="n">
        <f aca="false">E35-E36-E37-E38</f>
        <v>420.742170849022</v>
      </c>
      <c r="F39" s="38" t="n">
        <f aca="false">F35-F36-F37-F38</f>
        <v>0</v>
      </c>
      <c r="G39" s="38" t="n">
        <f aca="false">G35-G36-G37-G38</f>
        <v>0</v>
      </c>
    </row>
    <row r="40" customFormat="false" ht="15" hidden="false" customHeight="false" outlineLevel="0" collapsed="false">
      <c r="A40" s="24" t="s">
        <v>402</v>
      </c>
      <c r="B40" s="25"/>
      <c r="C40" s="25"/>
      <c r="D40" s="25"/>
      <c r="E40" s="25"/>
      <c r="F40" s="25"/>
      <c r="G40" s="25"/>
    </row>
    <row r="41" customFormat="false" ht="15" hidden="false" customHeight="false" outlineLevel="0" collapsed="false">
      <c r="A41" s="8" t="s">
        <v>397</v>
      </c>
      <c r="C41" s="36" t="n">
        <f aca="false">B43</f>
        <v>500</v>
      </c>
      <c r="D41" s="36" t="n">
        <f aca="false">C43</f>
        <v>500</v>
      </c>
      <c r="E41" s="36" t="n">
        <f aca="false">D43</f>
        <v>500</v>
      </c>
      <c r="F41" s="36" t="n">
        <f aca="false">E43</f>
        <v>500</v>
      </c>
      <c r="G41" s="36" t="n">
        <f aca="false">F43</f>
        <v>500</v>
      </c>
    </row>
    <row r="42" customFormat="false" ht="15" hidden="false" customHeight="false" outlineLevel="0" collapsed="false">
      <c r="A42" s="8" t="s">
        <v>399</v>
      </c>
      <c r="C42" s="36" t="n">
        <f aca="false">IF(C$19=$H$6,C41,0)</f>
        <v>0</v>
      </c>
      <c r="D42" s="36" t="n">
        <f aca="false">IF(D$19=$H$6,D41,0)</f>
        <v>0</v>
      </c>
      <c r="E42" s="36" t="n">
        <f aca="false">IF(E$19=$H$6,E41,0)</f>
        <v>0</v>
      </c>
      <c r="F42" s="36" t="n">
        <f aca="false">IF(F$19=$H$6,F41,0)</f>
        <v>0</v>
      </c>
      <c r="G42" s="36" t="n">
        <f aca="false">IF(G$19=$H$6,G41,0)</f>
        <v>500</v>
      </c>
    </row>
    <row r="43" customFormat="false" ht="15" hidden="false" customHeight="false" outlineLevel="0" collapsed="false">
      <c r="A43" s="37" t="s">
        <v>401</v>
      </c>
      <c r="B43" s="44" t="n">
        <f aca="false">B6</f>
        <v>500</v>
      </c>
      <c r="C43" s="38" t="n">
        <f aca="false">C41-C42</f>
        <v>500</v>
      </c>
      <c r="D43" s="38" t="n">
        <f aca="false">D41-D42</f>
        <v>500</v>
      </c>
      <c r="E43" s="38" t="n">
        <f aca="false">E41-E42</f>
        <v>500</v>
      </c>
      <c r="F43" s="38" t="n">
        <f aca="false">F41-F42</f>
        <v>500</v>
      </c>
      <c r="G43" s="38" t="n">
        <f aca="false">G41-G42</f>
        <v>0</v>
      </c>
    </row>
    <row r="44" customFormat="false" ht="15" hidden="false" customHeight="false" outlineLevel="0" collapsed="false">
      <c r="A44" s="24" t="s">
        <v>403</v>
      </c>
      <c r="B44" s="25"/>
      <c r="C44" s="25"/>
      <c r="D44" s="25"/>
      <c r="E44" s="25"/>
      <c r="F44" s="25"/>
      <c r="G44" s="25"/>
    </row>
    <row r="45" customFormat="false" ht="15" hidden="false" customHeight="false" outlineLevel="0" collapsed="false">
      <c r="A45" s="8" t="s">
        <v>397</v>
      </c>
      <c r="C45" s="36" t="n">
        <f aca="false">B47</f>
        <v>200</v>
      </c>
      <c r="D45" s="36" t="n">
        <f aca="false">C47</f>
        <v>200</v>
      </c>
      <c r="E45" s="36" t="n">
        <f aca="false">D47</f>
        <v>200</v>
      </c>
      <c r="F45" s="36" t="n">
        <f aca="false">E47</f>
        <v>200</v>
      </c>
      <c r="G45" s="36" t="n">
        <f aca="false">F47</f>
        <v>200</v>
      </c>
    </row>
    <row r="46" customFormat="false" ht="15" hidden="false" customHeight="false" outlineLevel="0" collapsed="false">
      <c r="A46" s="8" t="s">
        <v>399</v>
      </c>
      <c r="C46" s="36" t="n">
        <f aca="false">IF(C$19=$H$7,C45,0)</f>
        <v>0</v>
      </c>
      <c r="D46" s="36" t="n">
        <f aca="false">IF(D$19=$H$7,D45,0)</f>
        <v>0</v>
      </c>
      <c r="E46" s="36" t="n">
        <f aca="false">IF(E$19=$H$7,E45,0)</f>
        <v>0</v>
      </c>
      <c r="F46" s="36" t="n">
        <f aca="false">IF(F$19=$H$7,F45,0)</f>
        <v>0</v>
      </c>
      <c r="G46" s="36" t="n">
        <f aca="false">IF(G$19=$H$7,G45,0)</f>
        <v>200</v>
      </c>
    </row>
    <row r="47" customFormat="false" ht="15" hidden="false" customHeight="false" outlineLevel="0" collapsed="false">
      <c r="A47" s="37" t="s">
        <v>401</v>
      </c>
      <c r="B47" s="44" t="n">
        <f aca="false">B7</f>
        <v>200</v>
      </c>
      <c r="C47" s="38" t="n">
        <f aca="false">C45-C46</f>
        <v>200</v>
      </c>
      <c r="D47" s="38" t="n">
        <f aca="false">D45-D46</f>
        <v>200</v>
      </c>
      <c r="E47" s="38" t="n">
        <f aca="false">E45-E46</f>
        <v>200</v>
      </c>
      <c r="F47" s="38" t="n">
        <f aca="false">F45-F46</f>
        <v>200</v>
      </c>
      <c r="G47" s="38" t="n">
        <f aca="false">G45-G46</f>
        <v>0</v>
      </c>
    </row>
    <row r="48" customFormat="false" ht="15" hidden="false" customHeight="false" outlineLevel="0" collapsed="false">
      <c r="A48" s="24" t="s">
        <v>404</v>
      </c>
      <c r="B48" s="25"/>
      <c r="C48" s="25"/>
      <c r="D48" s="25"/>
      <c r="E48" s="25"/>
      <c r="F48" s="25"/>
      <c r="G48" s="25"/>
    </row>
    <row r="49" customFormat="false" ht="15" hidden="false" customHeight="false" outlineLevel="0" collapsed="false">
      <c r="A49" s="8" t="s">
        <v>397</v>
      </c>
      <c r="C49" s="36" t="n">
        <f aca="false">B52</f>
        <v>0</v>
      </c>
      <c r="D49" s="36" t="n">
        <f aca="false">C52</f>
        <v>0</v>
      </c>
      <c r="E49" s="36" t="n">
        <f aca="false">D52</f>
        <v>0</v>
      </c>
      <c r="F49" s="36" t="n">
        <f aca="false">E52</f>
        <v>0</v>
      </c>
      <c r="G49" s="36" t="n">
        <f aca="false">F52</f>
        <v>256.890229132867</v>
      </c>
    </row>
    <row r="50" customFormat="false" ht="15" hidden="false" customHeight="false" outlineLevel="0" collapsed="false">
      <c r="A50" s="8" t="s">
        <v>405</v>
      </c>
      <c r="C50" s="36" t="n">
        <f aca="false">(C37+C42+C46)*Drivers!C$129</f>
        <v>0</v>
      </c>
      <c r="D50" s="36" t="n">
        <f aca="false">(D37+D42+D46)*Drivers!D$129</f>
        <v>0</v>
      </c>
      <c r="E50" s="36" t="n">
        <f aca="false">(E37+E42+E46)*Drivers!E$129</f>
        <v>0</v>
      </c>
      <c r="F50" s="36" t="n">
        <f aca="false">(F37+F42+F46)*Drivers!F$129</f>
        <v>411.242170849022</v>
      </c>
      <c r="G50" s="36" t="n">
        <f aca="false">(G37+G42+G46)*Drivers!G$129</f>
        <v>700</v>
      </c>
    </row>
    <row r="51" customFormat="false" ht="15" hidden="false" customHeight="false" outlineLevel="0" collapsed="false">
      <c r="A51" s="8" t="s">
        <v>400</v>
      </c>
      <c r="C51" s="36" t="n">
        <f aca="false">MIN(C32-C38,C49+C50)</f>
        <v>0</v>
      </c>
      <c r="D51" s="36" t="n">
        <f aca="false">MIN(D32-D38,D49+D50)</f>
        <v>0</v>
      </c>
      <c r="E51" s="36" t="n">
        <f aca="false">MIN(E32-E38,E49+E50)</f>
        <v>0</v>
      </c>
      <c r="F51" s="36" t="n">
        <f aca="false">MIN(F32-F38,F49+F50)</f>
        <v>154.351941716154</v>
      </c>
      <c r="G51" s="36" t="n">
        <f aca="false">MIN(G32-G38,G49+G50)</f>
        <v>155.052378856658</v>
      </c>
    </row>
    <row r="52" customFormat="false" ht="15" hidden="false" customHeight="false" outlineLevel="0" collapsed="false">
      <c r="A52" s="37" t="s">
        <v>401</v>
      </c>
      <c r="B52" s="44" t="n">
        <f aca="false">0</f>
        <v>0</v>
      </c>
      <c r="C52" s="38" t="n">
        <f aca="false">C49+C50-C51</f>
        <v>0</v>
      </c>
      <c r="D52" s="38" t="n">
        <f aca="false">D49+D50-D51</f>
        <v>0</v>
      </c>
      <c r="E52" s="38" t="n">
        <f aca="false">E49+E50-E51</f>
        <v>0</v>
      </c>
      <c r="F52" s="38" t="n">
        <f aca="false">F49+F50-F51</f>
        <v>256.890229132867</v>
      </c>
      <c r="G52" s="38" t="n">
        <f aca="false">G49+G50-G51</f>
        <v>801.837850276209</v>
      </c>
    </row>
    <row r="53" customFormat="false" ht="15" hidden="false" customHeight="false" outlineLevel="0" collapsed="false">
      <c r="A53" s="24" t="s">
        <v>406</v>
      </c>
      <c r="B53" s="25"/>
      <c r="C53" s="25"/>
      <c r="D53" s="25"/>
      <c r="E53" s="25"/>
      <c r="F53" s="25"/>
      <c r="G53" s="25"/>
    </row>
    <row r="54" customFormat="false" ht="15" hidden="false" customHeight="false" outlineLevel="0" collapsed="false">
      <c r="A54" s="8" t="s">
        <v>407</v>
      </c>
      <c r="C54" s="36" t="n">
        <f aca="false">B56</f>
        <v>0</v>
      </c>
      <c r="D54" s="36" t="n">
        <f aca="false">C56</f>
        <v>24.3356456066094</v>
      </c>
      <c r="E54" s="36" t="n">
        <f aca="false">D56</f>
        <v>0</v>
      </c>
      <c r="F54" s="36" t="n">
        <f aca="false">E56</f>
        <v>0</v>
      </c>
      <c r="G54" s="36" t="n">
        <f aca="false">F56</f>
        <v>0</v>
      </c>
    </row>
    <row r="55" customFormat="false" ht="15" hidden="false" customHeight="false" outlineLevel="0" collapsed="false">
      <c r="A55" s="8" t="s">
        <v>408</v>
      </c>
      <c r="C55" s="36" t="n">
        <f aca="false">MAX(0,C54-C21)</f>
        <v>0</v>
      </c>
      <c r="D55" s="36" t="n">
        <f aca="false">MAX(0,D54-D21)</f>
        <v>0</v>
      </c>
      <c r="E55" s="36" t="n">
        <f aca="false">MAX(0,E54-E21)</f>
        <v>0</v>
      </c>
      <c r="F55" s="36" t="n">
        <f aca="false">MAX(0,F54-F21)</f>
        <v>0</v>
      </c>
      <c r="G55" s="36" t="n">
        <f aca="false">MAX(0,G54-G21)</f>
        <v>0</v>
      </c>
    </row>
    <row r="56" customFormat="false" ht="15" hidden="false" customHeight="false" outlineLevel="0" collapsed="false">
      <c r="A56" s="37" t="s">
        <v>409</v>
      </c>
      <c r="B56" s="44" t="n">
        <f aca="false">B10</f>
        <v>0</v>
      </c>
      <c r="C56" s="38" t="n">
        <f aca="false">C54-C55+C30-C31</f>
        <v>24.3356456066094</v>
      </c>
      <c r="D56" s="38" t="n">
        <f aca="false">D54-D55+D30-D31</f>
        <v>0</v>
      </c>
      <c r="E56" s="38" t="n">
        <f aca="false">E54-E55+E30-E31</f>
        <v>0</v>
      </c>
      <c r="F56" s="38" t="n">
        <f aca="false">F54-F55+F30-F31</f>
        <v>0</v>
      </c>
      <c r="G56" s="38" t="n">
        <f aca="false">G54-G55+G30-G31</f>
        <v>0</v>
      </c>
    </row>
    <row r="57" customFormat="false" ht="15" hidden="false" customHeight="false" outlineLevel="0" collapsed="false">
      <c r="A57" s="8" t="s">
        <v>410</v>
      </c>
      <c r="B57" s="36" t="n">
        <f aca="false">B14-B10</f>
        <v>500</v>
      </c>
      <c r="C57" s="36" t="n">
        <f aca="false">C21-C56</f>
        <v>285.664354393391</v>
      </c>
      <c r="D57" s="36" t="n">
        <f aca="false">D21-D56</f>
        <v>210</v>
      </c>
      <c r="E57" s="36" t="n">
        <f aca="false">E21-E56</f>
        <v>210</v>
      </c>
      <c r="F57" s="36" t="n">
        <f aca="false">F21-F56</f>
        <v>210</v>
      </c>
      <c r="G57" s="36" t="n">
        <f aca="false">G21-G56</f>
        <v>210</v>
      </c>
    </row>
    <row r="58" customFormat="false" ht="15" hidden="false" customHeight="false" outlineLevel="0" collapsed="false">
      <c r="A58" s="24" t="s">
        <v>411</v>
      </c>
      <c r="B58" s="25"/>
      <c r="C58" s="25"/>
      <c r="D58" s="25"/>
      <c r="E58" s="25"/>
      <c r="F58" s="25"/>
      <c r="G58" s="25"/>
    </row>
    <row r="59" customFormat="false" ht="15" hidden="false" customHeight="false" outlineLevel="0" collapsed="false">
      <c r="A59" s="3" t="s">
        <v>412</v>
      </c>
      <c r="B59" s="36" t="n">
        <f aca="false">B11</f>
        <v>1416.8</v>
      </c>
      <c r="C59" s="27" t="n">
        <f aca="false">C39+C43+C47+C52+C56</f>
        <v>1431.63564560661</v>
      </c>
      <c r="D59" s="27" t="n">
        <f aca="false">D39+D43+D47+D52+D56</f>
        <v>1279.93042719122</v>
      </c>
      <c r="E59" s="27" t="n">
        <f aca="false">E39+E43+E47+E52+E56</f>
        <v>1120.74217084902</v>
      </c>
      <c r="F59" s="27" t="n">
        <f aca="false">F39+F43+F47+F52+F56</f>
        <v>956.890229132867</v>
      </c>
      <c r="G59" s="27" t="n">
        <f aca="false">G39+G43+G47+G52+G56</f>
        <v>801.837850276209</v>
      </c>
    </row>
    <row r="60" customFormat="false" ht="15" hidden="false" customHeight="false" outlineLevel="0" collapsed="false">
      <c r="A60" s="8" t="s">
        <v>413</v>
      </c>
      <c r="B60" s="36" t="n">
        <f aca="false">B5+B6+B7</f>
        <v>1416.8</v>
      </c>
      <c r="C60" s="36" t="n">
        <f aca="false">C39+C43+C47+C52</f>
        <v>1407.3</v>
      </c>
      <c r="D60" s="36" t="n">
        <f aca="false">D39+D43+D47+D52</f>
        <v>1279.93042719122</v>
      </c>
      <c r="E60" s="36" t="n">
        <f aca="false">E39+E43+E47+E52</f>
        <v>1120.74217084902</v>
      </c>
      <c r="F60" s="36" t="n">
        <f aca="false">F39+F43+F47+F52</f>
        <v>956.890229132867</v>
      </c>
      <c r="G60" s="36" t="n">
        <f aca="false">G39+G43+G47+G52</f>
        <v>801.837850276209</v>
      </c>
    </row>
    <row r="61" customFormat="false" ht="15" hidden="false" customHeight="false" outlineLevel="0" collapsed="false">
      <c r="A61" s="8" t="s">
        <v>414</v>
      </c>
      <c r="C61" s="36" t="n">
        <f aca="false">B63</f>
        <v>18.6</v>
      </c>
      <c r="D61" s="36" t="n">
        <f aca="false">C63</f>
        <v>11.6</v>
      </c>
      <c r="E61" s="36" t="n">
        <f aca="false">D63</f>
        <v>5.6</v>
      </c>
      <c r="F61" s="36" t="n">
        <f aca="false">E63</f>
        <v>2.6</v>
      </c>
      <c r="G61" s="36" t="n">
        <f aca="false">F63</f>
        <v>0.600000000000001</v>
      </c>
    </row>
    <row r="62" customFormat="false" ht="15" hidden="false" customHeight="false" outlineLevel="0" collapsed="false">
      <c r="A62" s="8" t="s">
        <v>415</v>
      </c>
      <c r="C62" s="36" t="n">
        <f aca="false">MIN(C61,Drivers!C$144)</f>
        <v>7</v>
      </c>
      <c r="D62" s="36" t="n">
        <f aca="false">MIN(D61,Drivers!D$144)</f>
        <v>6</v>
      </c>
      <c r="E62" s="36" t="n">
        <f aca="false">MIN(E61,Drivers!E$144)</f>
        <v>3</v>
      </c>
      <c r="F62" s="36" t="n">
        <f aca="false">MIN(F61,Drivers!F$144)</f>
        <v>2</v>
      </c>
      <c r="G62" s="36" t="n">
        <f aca="false">MIN(G61,Drivers!G$144)</f>
        <v>0.6</v>
      </c>
    </row>
    <row r="63" customFormat="false" ht="15" hidden="false" customHeight="false" outlineLevel="0" collapsed="false">
      <c r="A63" s="8" t="s">
        <v>416</v>
      </c>
      <c r="B63" s="36" t="n">
        <f aca="false">B13</f>
        <v>18.6</v>
      </c>
      <c r="C63" s="36" t="n">
        <f aca="false">C61-C62</f>
        <v>11.6</v>
      </c>
      <c r="D63" s="36" t="n">
        <f aca="false">D61-D62</f>
        <v>5.6</v>
      </c>
      <c r="E63" s="36" t="n">
        <f aca="false">E61-E62</f>
        <v>2.6</v>
      </c>
      <c r="F63" s="36" t="n">
        <f aca="false">F61-F62</f>
        <v>0.600000000000001</v>
      </c>
      <c r="G63" s="36" t="n">
        <f aca="false">G61-G62</f>
        <v>0</v>
      </c>
    </row>
    <row r="64" customFormat="false" ht="15" hidden="false" customHeight="false" outlineLevel="0" collapsed="false">
      <c r="A64" s="8" t="s">
        <v>417</v>
      </c>
      <c r="C64" s="36" t="n">
        <f aca="false">B59-C59</f>
        <v>-14.8356456066094</v>
      </c>
      <c r="D64" s="36" t="n">
        <f aca="false">C59-D59</f>
        <v>151.705218415392</v>
      </c>
      <c r="E64" s="36" t="n">
        <f aca="false">D59-E59</f>
        <v>159.188256342195</v>
      </c>
      <c r="F64" s="36" t="n">
        <f aca="false">E59-F59</f>
        <v>163.851941716154</v>
      </c>
      <c r="G64" s="36" t="n">
        <f aca="false">F59-G59</f>
        <v>155.052378856658</v>
      </c>
    </row>
    <row r="65" customFormat="false" ht="15" hidden="false" customHeight="false" outlineLevel="0" collapsed="false">
      <c r="A65" s="24" t="s">
        <v>418</v>
      </c>
      <c r="B65" s="25"/>
      <c r="C65" s="25"/>
      <c r="D65" s="25"/>
      <c r="E65" s="25"/>
      <c r="F65" s="25"/>
      <c r="G65" s="25"/>
    </row>
    <row r="66" customFormat="false" ht="15" hidden="false" customHeight="false" outlineLevel="0" collapsed="false">
      <c r="A66" s="8" t="s">
        <v>419</v>
      </c>
      <c r="C66" s="11" t="n">
        <f aca="false">Drivers!C$124</f>
        <v>0.04</v>
      </c>
      <c r="D66" s="11" t="n">
        <f aca="false">Drivers!D$124</f>
        <v>0.034</v>
      </c>
      <c r="E66" s="11" t="n">
        <f aca="false">Drivers!E$124</f>
        <v>0.0325</v>
      </c>
      <c r="F66" s="11" t="n">
        <f aca="false">Drivers!F$124</f>
        <v>0.0325</v>
      </c>
      <c r="G66" s="11" t="n">
        <f aca="false">Drivers!G$124</f>
        <v>0.0325</v>
      </c>
    </row>
    <row r="67" customFormat="false" ht="15" hidden="false" customHeight="false" outlineLevel="0" collapsed="false">
      <c r="A67" s="8" t="s">
        <v>420</v>
      </c>
      <c r="C67" s="36" t="n">
        <f aca="false">C35*(MAX(C66,$F$5)+$E$5)</f>
        <v>50.176</v>
      </c>
      <c r="D67" s="36" t="n">
        <f aca="false">D35*(MAX(D66,$F$5)+$E$5)</f>
        <v>45.2672</v>
      </c>
      <c r="E67" s="36" t="n">
        <f aca="false">E35*(MAX(E66,$F$5)+$E$5)</f>
        <v>36.2456516994511</v>
      </c>
      <c r="F67" s="36" t="n">
        <f aca="false">F35*(MAX(F66,$F$5)+$E$5)</f>
        <v>26.2963856780639</v>
      </c>
      <c r="G67" s="36" t="n">
        <f aca="false">G35*(MAX(G66,$F$5)+$E$5)</f>
        <v>0</v>
      </c>
    </row>
    <row r="68" customFormat="false" ht="15" hidden="false" customHeight="false" outlineLevel="0" collapsed="false">
      <c r="A68" s="8" t="s">
        <v>421</v>
      </c>
      <c r="C68" s="36" t="n">
        <f aca="false">C41*$E$6</f>
        <v>25</v>
      </c>
      <c r="D68" s="36" t="n">
        <f aca="false">D41*$E$6</f>
        <v>25</v>
      </c>
      <c r="E68" s="36" t="n">
        <f aca="false">E41*$E$6</f>
        <v>25</v>
      </c>
      <c r="F68" s="36" t="n">
        <f aca="false">F41*$E$6</f>
        <v>25</v>
      </c>
      <c r="G68" s="36" t="n">
        <f aca="false">G41*$E$6</f>
        <v>25</v>
      </c>
    </row>
    <row r="69" customFormat="false" ht="15" hidden="false" customHeight="false" outlineLevel="0" collapsed="false">
      <c r="A69" s="8" t="s">
        <v>422</v>
      </c>
      <c r="C69" s="36" t="n">
        <f aca="false">C45*$E$7</f>
        <v>13.5</v>
      </c>
      <c r="D69" s="36" t="n">
        <f aca="false">D45*$E$7</f>
        <v>13.5</v>
      </c>
      <c r="E69" s="36" t="n">
        <f aca="false">E45*$E$7</f>
        <v>13.5</v>
      </c>
      <c r="F69" s="36" t="n">
        <f aca="false">F45*$E$7</f>
        <v>13.5</v>
      </c>
      <c r="G69" s="36" t="n">
        <f aca="false">G45*$E$7</f>
        <v>13.5</v>
      </c>
    </row>
    <row r="70" customFormat="false" ht="15" hidden="false" customHeight="false" outlineLevel="0" collapsed="false">
      <c r="A70" s="8" t="s">
        <v>423</v>
      </c>
      <c r="C70" s="36" t="n">
        <f aca="false">C49*Drivers!C$134</f>
        <v>0</v>
      </c>
      <c r="D70" s="36" t="n">
        <f aca="false">D49*Drivers!D$134</f>
        <v>0</v>
      </c>
      <c r="E70" s="36" t="n">
        <f aca="false">E49*Drivers!E$134</f>
        <v>0</v>
      </c>
      <c r="F70" s="36" t="n">
        <f aca="false">F49*Drivers!F$134</f>
        <v>0</v>
      </c>
      <c r="G70" s="36" t="n">
        <f aca="false">G49*Drivers!G$134</f>
        <v>23.1201206219581</v>
      </c>
    </row>
    <row r="71" customFormat="false" ht="15" hidden="false" customHeight="false" outlineLevel="0" collapsed="false">
      <c r="A71" s="8" t="s">
        <v>424</v>
      </c>
      <c r="C71" s="36" t="n">
        <f aca="false">C54*(MAX(C66,$F$9)+$E$9)</f>
        <v>0</v>
      </c>
      <c r="D71" s="36" t="n">
        <f aca="false">D54*(MAX(D66,$F$9)+$E$9)</f>
        <v>1.67915954685605</v>
      </c>
      <c r="E71" s="36" t="n">
        <f aca="false">E54*(MAX(E66,$F$9)+$E$9)</f>
        <v>0</v>
      </c>
      <c r="F71" s="36" t="n">
        <f aca="false">F54*(MAX(F66,$F$9)+$E$9)</f>
        <v>0</v>
      </c>
      <c r="G71" s="36" t="n">
        <f aca="false">G54*(MAX(G66,$F$9)+$E$9)</f>
        <v>0</v>
      </c>
    </row>
    <row r="72" customFormat="false" ht="15" hidden="false" customHeight="false" outlineLevel="0" collapsed="false">
      <c r="A72" s="8" t="s">
        <v>425</v>
      </c>
      <c r="B72" s="45" t="n">
        <v>0.00375</v>
      </c>
      <c r="C72" s="36" t="n">
        <f aca="false">B57*$B$72</f>
        <v>1.875</v>
      </c>
      <c r="D72" s="36" t="n">
        <f aca="false">C57*$B$72</f>
        <v>1.07124132897521</v>
      </c>
      <c r="E72" s="36" t="n">
        <f aca="false">D57*$B$72</f>
        <v>0.7875</v>
      </c>
      <c r="F72" s="36" t="n">
        <f aca="false">E57*$B$72</f>
        <v>0.7875</v>
      </c>
      <c r="G72" s="36" t="n">
        <f aca="false">F57*$B$72</f>
        <v>0.7875</v>
      </c>
      <c r="J72" s="2" t="s">
        <v>426</v>
      </c>
    </row>
    <row r="73" customFormat="false" ht="15" hidden="false" customHeight="false" outlineLevel="0" collapsed="false">
      <c r="A73" s="37" t="s">
        <v>427</v>
      </c>
      <c r="B73" s="40"/>
      <c r="C73" s="38" t="n">
        <f aca="false">SUM(C67:C72)</f>
        <v>90.551</v>
      </c>
      <c r="D73" s="38" t="n">
        <f aca="false">SUM(D67:D72)</f>
        <v>86.5176008758313</v>
      </c>
      <c r="E73" s="38" t="n">
        <f aca="false">SUM(E67:E72)</f>
        <v>75.5331516994511</v>
      </c>
      <c r="F73" s="38" t="n">
        <f aca="false">SUM(F67:F72)</f>
        <v>65.5838856780639</v>
      </c>
      <c r="G73" s="38" t="n">
        <f aca="false">SUM(G67:G72)</f>
        <v>62.4076206219581</v>
      </c>
    </row>
    <row r="74" customFormat="false" ht="15" hidden="false" customHeight="false" outlineLevel="0" collapsed="false">
      <c r="A74" s="8" t="s">
        <v>428</v>
      </c>
      <c r="C74" s="36" t="n">
        <f aca="false">C62</f>
        <v>7</v>
      </c>
      <c r="D74" s="36" t="n">
        <f aca="false">D62</f>
        <v>6</v>
      </c>
      <c r="E74" s="36" t="n">
        <f aca="false">E62</f>
        <v>3</v>
      </c>
      <c r="F74" s="36" t="n">
        <f aca="false">F62</f>
        <v>2</v>
      </c>
      <c r="G74" s="36" t="n">
        <f aca="false">G62</f>
        <v>0.6</v>
      </c>
    </row>
    <row r="75" customFormat="false" ht="15" hidden="false" customHeight="false" outlineLevel="0" collapsed="false">
      <c r="A75" s="8" t="s">
        <v>429</v>
      </c>
      <c r="C75" s="36" t="n">
        <f aca="false">Model!B37*Drivers!C$139</f>
        <v>8.001</v>
      </c>
      <c r="D75" s="36" t="n">
        <f aca="false">Model!C37*Drivers!D$139</f>
        <v>6</v>
      </c>
      <c r="E75" s="36" t="n">
        <f aca="false">Model!D37*Drivers!E$139</f>
        <v>5.5</v>
      </c>
      <c r="F75" s="36" t="n">
        <f aca="false">Model!E37*Drivers!F$139</f>
        <v>5.5</v>
      </c>
      <c r="G75" s="36" t="n">
        <f aca="false">Model!F37*Drivers!G$139</f>
        <v>5.5</v>
      </c>
    </row>
    <row r="76" customFormat="false" ht="15" hidden="false" customHeight="false" outlineLevel="0" collapsed="false">
      <c r="A76" s="37" t="s">
        <v>430</v>
      </c>
      <c r="B76" s="40"/>
      <c r="C76" s="38" t="n">
        <f aca="false">C73+C74-C75</f>
        <v>89.55</v>
      </c>
      <c r="D76" s="38" t="n">
        <f aca="false">D73+D74-D75</f>
        <v>86.5176008758313</v>
      </c>
      <c r="E76" s="38" t="n">
        <f aca="false">E73+E74-E75</f>
        <v>73.0331516994511</v>
      </c>
      <c r="F76" s="38" t="n">
        <f aca="false">F73+F74-F75</f>
        <v>62.0838856780639</v>
      </c>
      <c r="G76" s="38" t="n">
        <f aca="false">G73+G74-G75</f>
        <v>57.5076206219581</v>
      </c>
    </row>
    <row r="77" customFormat="false" ht="15" hidden="false" customHeight="false" outlineLevel="0" collapsed="false">
      <c r="A77" s="8" t="s">
        <v>431</v>
      </c>
      <c r="C77" s="39" t="n">
        <f aca="false">IFERROR(C73/B59,0)</f>
        <v>0.0639123376623377</v>
      </c>
      <c r="D77" s="39" t="n">
        <f aca="false">IFERROR(D73/C59,0)</f>
        <v>0.0604326953868016</v>
      </c>
      <c r="E77" s="39" t="n">
        <f aca="false">IFERROR(E73/D59,0)</f>
        <v>0.0590134823696684</v>
      </c>
      <c r="F77" s="39" t="n">
        <f aca="false">IFERROR(F73/E59,0)</f>
        <v>0.0585182635078152</v>
      </c>
      <c r="G77" s="39" t="n">
        <f aca="false">IFERROR(G73/F59,0)</f>
        <v>0.0652192056329301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2"/>
    <col collapsed="false" customWidth="true" hidden="false" outlineLevel="0" max="8" min="8" style="0" width="62"/>
  </cols>
  <sheetData>
    <row r="1" customFormat="false" ht="17.35" hidden="false" customHeight="false" outlineLevel="0" collapsed="false">
      <c r="A1" s="1" t="s">
        <v>432</v>
      </c>
    </row>
    <row r="2" customFormat="false" ht="15" hidden="false" customHeight="false" outlineLevel="0" collapsed="false">
      <c r="A2" s="2" t="s">
        <v>433</v>
      </c>
    </row>
    <row r="4" customFormat="false" ht="15" hidden="false" customHeight="false" outlineLevel="0" collapsed="false">
      <c r="A4" s="6"/>
      <c r="B4" s="7" t="s">
        <v>232</v>
      </c>
      <c r="C4" s="7" t="s">
        <v>103</v>
      </c>
      <c r="D4" s="7" t="s">
        <v>104</v>
      </c>
      <c r="E4" s="7" t="s">
        <v>105</v>
      </c>
      <c r="F4" s="7" t="s">
        <v>106</v>
      </c>
      <c r="G4" s="7" t="s">
        <v>107</v>
      </c>
      <c r="H4" s="7" t="s">
        <v>26</v>
      </c>
    </row>
    <row r="5" customFormat="false" ht="15" hidden="false" customHeight="false" outlineLevel="0" collapsed="false">
      <c r="A5" s="24" t="s">
        <v>434</v>
      </c>
      <c r="B5" s="25"/>
      <c r="C5" s="25"/>
      <c r="D5" s="25"/>
      <c r="E5" s="25"/>
      <c r="F5" s="25"/>
      <c r="G5" s="25"/>
      <c r="H5" s="25"/>
    </row>
    <row r="6" customFormat="false" ht="15" hidden="false" customHeight="false" outlineLevel="0" collapsed="false">
      <c r="A6" s="8" t="s">
        <v>435</v>
      </c>
      <c r="B6" s="9" t="n">
        <f aca="false">Historicals!D31</f>
        <v>579.1</v>
      </c>
      <c r="C6" s="36" t="n">
        <f aca="false">B6*(1+Drivers!C$6)*(1+Drivers!C$11)*(1+Drivers!C$16)</f>
        <v>471.6283056</v>
      </c>
      <c r="D6" s="36" t="n">
        <f aca="false">C6*(1+Drivers!D$6)*(1+Drivers!D$11)*(1+Drivers!D$16)</f>
        <v>412.920014118912</v>
      </c>
      <c r="E6" s="36" t="n">
        <f aca="false">D6*(1+Drivers!E$6)*(1+Drivers!E$11)*(1+Drivers!E$16)</f>
        <v>380.505793010577</v>
      </c>
      <c r="F6" s="36" t="n">
        <f aca="false">E6*(1+Drivers!F$6)*(1+Drivers!F$11)*(1+Drivers!F$16)</f>
        <v>356.115371678599</v>
      </c>
      <c r="G6" s="36" t="n">
        <f aca="false">F6*(1+Drivers!G$6)*(1+Drivers!G$11)*(1+Drivers!G$16)</f>
        <v>335.033341675226</v>
      </c>
      <c r="H6" s="2" t="s">
        <v>436</v>
      </c>
    </row>
    <row r="7" customFormat="false" ht="15" hidden="false" customHeight="false" outlineLevel="0" collapsed="false">
      <c r="A7" s="8" t="s">
        <v>437</v>
      </c>
      <c r="C7" s="39" t="n">
        <f aca="false">C6/B6-1</f>
        <v>-0.185584</v>
      </c>
      <c r="D7" s="39" t="n">
        <f aca="false">D6/C6-1</f>
        <v>-0.12448</v>
      </c>
      <c r="E7" s="39" t="n">
        <f aca="false">E6/D6-1</f>
        <v>-0.0784999999999999</v>
      </c>
      <c r="F7" s="39" t="n">
        <f aca="false">F6/E6-1</f>
        <v>-0.0641000000000001</v>
      </c>
      <c r="G7" s="39" t="n">
        <f aca="false">G6/F6-1</f>
        <v>-0.0592000000000001</v>
      </c>
    </row>
    <row r="8" customFormat="false" ht="15" hidden="false" customHeight="false" outlineLevel="0" collapsed="false">
      <c r="A8" s="8" t="s">
        <v>438</v>
      </c>
      <c r="B8" s="9" t="n">
        <f aca="false">Historicals!D32</f>
        <v>501.3</v>
      </c>
      <c r="C8" s="36" t="n">
        <f aca="false">B8*(1+Drivers!C$21)</f>
        <v>518.8455</v>
      </c>
      <c r="D8" s="36" t="n">
        <f aca="false">C8*(1+Drivers!D$21)</f>
        <v>534.410865</v>
      </c>
      <c r="E8" s="36" t="n">
        <f aca="false">D8*(1+Drivers!E$21)</f>
        <v>550.44319095</v>
      </c>
      <c r="F8" s="36" t="n">
        <f aca="false">E8*(1+Drivers!F$21)</f>
        <v>564.20427072375</v>
      </c>
      <c r="G8" s="36" t="n">
        <f aca="false">F8*(1+Drivers!G$21)</f>
        <v>578.309377491844</v>
      </c>
    </row>
    <row r="9" customFormat="false" ht="15" hidden="false" customHeight="false" outlineLevel="0" collapsed="false">
      <c r="A9" s="8" t="s">
        <v>439</v>
      </c>
      <c r="B9" s="9" t="n">
        <f aca="false">Historicals!D33</f>
        <v>0</v>
      </c>
      <c r="C9" s="9" t="n">
        <f aca="false">Drivers!C$26</f>
        <v>34</v>
      </c>
      <c r="D9" s="9" t="n">
        <f aca="false">Drivers!D$26</f>
        <v>95</v>
      </c>
      <c r="E9" s="9" t="n">
        <f aca="false">Drivers!E$26</f>
        <v>103</v>
      </c>
      <c r="F9" s="9" t="n">
        <f aca="false">Drivers!F$26</f>
        <v>112</v>
      </c>
      <c r="G9" s="9" t="n">
        <f aca="false">Drivers!G$26</f>
        <v>120</v>
      </c>
    </row>
    <row r="10" customFormat="false" ht="15" hidden="false" customHeight="false" outlineLevel="0" collapsed="false">
      <c r="A10" s="37" t="s">
        <v>440</v>
      </c>
      <c r="B10" s="38" t="n">
        <f aca="false">B6+B8+B9</f>
        <v>1080.4</v>
      </c>
      <c r="C10" s="38" t="n">
        <f aca="false">C6+C8+C9</f>
        <v>1024.4738056</v>
      </c>
      <c r="D10" s="38" t="n">
        <f aca="false">D6+D8+D9</f>
        <v>1042.33087911891</v>
      </c>
      <c r="E10" s="38" t="n">
        <f aca="false">E6+E8+E9</f>
        <v>1033.94898396058</v>
      </c>
      <c r="F10" s="38" t="n">
        <f aca="false">F6+F8+F9</f>
        <v>1032.31964240235</v>
      </c>
      <c r="G10" s="38" t="n">
        <f aca="false">G6+G8+G9</f>
        <v>1033.34271916707</v>
      </c>
    </row>
    <row r="11" customFormat="false" ht="15" hidden="false" customHeight="false" outlineLevel="0" collapsed="false">
      <c r="A11" s="8" t="s">
        <v>441</v>
      </c>
      <c r="B11" s="39" t="n">
        <f aca="false">Historicals!D5/Historicals!C5-1</f>
        <v>-0.038019766717122</v>
      </c>
      <c r="C11" s="39" t="n">
        <f aca="false">C10/B10-1</f>
        <v>-0.0517643413550537</v>
      </c>
      <c r="D11" s="39" t="n">
        <f aca="false">D10/C10-1</f>
        <v>0.0174304832600904</v>
      </c>
      <c r="E11" s="39" t="n">
        <f aca="false">E10/D10-1</f>
        <v>-0.00804149174340862</v>
      </c>
      <c r="F11" s="39" t="n">
        <f aca="false">F10/E10-1</f>
        <v>-0.00157584327999105</v>
      </c>
      <c r="G11" s="39" t="n">
        <f aca="false">G10/F10-1</f>
        <v>0.000991046496354286</v>
      </c>
    </row>
    <row r="12" customFormat="false" ht="15" hidden="false" customHeight="false" outlineLevel="0" collapsed="false">
      <c r="A12" s="8" t="s">
        <v>442</v>
      </c>
      <c r="B12" s="39" t="n">
        <f aca="false">B6/B10</f>
        <v>0.536005183265457</v>
      </c>
      <c r="C12" s="39" t="n">
        <f aca="false">C6/C10</f>
        <v>0.460361507558295</v>
      </c>
      <c r="D12" s="39" t="n">
        <f aca="false">D6/D10</f>
        <v>0.396150610512427</v>
      </c>
      <c r="E12" s="39" t="n">
        <f aca="false">E6/E10</f>
        <v>0.368012154287378</v>
      </c>
      <c r="F12" s="39" t="n">
        <f aca="false">F6/F10</f>
        <v>0.344966187846499</v>
      </c>
      <c r="G12" s="39" t="n">
        <f aca="false">G6/G10</f>
        <v>0.324222869587044</v>
      </c>
    </row>
    <row r="13" customFormat="false" ht="15" hidden="false" customHeight="false" outlineLevel="0" collapsed="false">
      <c r="A13" s="24" t="s">
        <v>229</v>
      </c>
      <c r="B13" s="25"/>
      <c r="C13" s="25"/>
      <c r="D13" s="25"/>
      <c r="E13" s="25"/>
      <c r="F13" s="25"/>
      <c r="G13" s="25"/>
      <c r="H13" s="25"/>
    </row>
    <row r="14" customFormat="false" ht="15" hidden="false" customHeight="false" outlineLevel="0" collapsed="false">
      <c r="A14" s="8" t="s">
        <v>236</v>
      </c>
      <c r="B14" s="9" t="n">
        <f aca="false">Historicals!D5</f>
        <v>1080.4</v>
      </c>
      <c r="C14" s="36" t="n">
        <f aca="false">C10</f>
        <v>1024.4738056</v>
      </c>
      <c r="D14" s="36" t="n">
        <f aca="false">D10</f>
        <v>1042.33087911891</v>
      </c>
      <c r="E14" s="36" t="n">
        <f aca="false">E10</f>
        <v>1033.94898396058</v>
      </c>
      <c r="F14" s="36" t="n">
        <f aca="false">F10</f>
        <v>1032.31964240235</v>
      </c>
      <c r="G14" s="36" t="n">
        <f aca="false">G10</f>
        <v>1033.34271916707</v>
      </c>
    </row>
    <row r="15" customFormat="false" ht="15" hidden="false" customHeight="false" outlineLevel="0" collapsed="false">
      <c r="A15" s="8" t="s">
        <v>238</v>
      </c>
      <c r="B15" s="9" t="n">
        <f aca="false">Historicals!D6</f>
        <v>403.6</v>
      </c>
      <c r="C15" s="36" t="n">
        <f aca="false">C14*(1-(Drivers!C$32+Scenarios!$B$41*Drivers!C$172))</f>
        <v>432.3279459632</v>
      </c>
      <c r="D15" s="36" t="n">
        <f aca="false">D14*(1-(Drivers!D$32+Scenarios!$B$41*Drivers!D$172))</f>
        <v>463.837241207916</v>
      </c>
      <c r="E15" s="36" t="n">
        <f aca="false">E14*(1-(Drivers!E$32+Scenarios!$B$41*Drivers!E$172))</f>
        <v>465.27704278226</v>
      </c>
      <c r="F15" s="36" t="n">
        <f aca="false">F14*(1-(Drivers!F$32+Scenarios!$B$41*Drivers!F$172))</f>
        <v>469.705437293069</v>
      </c>
      <c r="G15" s="36" t="n">
        <f aca="false">G14*(1-(Drivers!G$32+Scenarios!$B$41*Drivers!G$172))</f>
        <v>475.337650816852</v>
      </c>
    </row>
    <row r="16" customFormat="false" ht="15" hidden="false" customHeight="false" outlineLevel="0" collapsed="false">
      <c r="A16" s="37" t="s">
        <v>240</v>
      </c>
      <c r="B16" s="38" t="n">
        <f aca="false">B14-B15</f>
        <v>676.8</v>
      </c>
      <c r="C16" s="38" t="n">
        <f aca="false">C14-C15</f>
        <v>592.1458596368</v>
      </c>
      <c r="D16" s="38" t="n">
        <f aca="false">D14-D15</f>
        <v>578.493637910996</v>
      </c>
      <c r="E16" s="38" t="n">
        <f aca="false">E14-E15</f>
        <v>568.671941178318</v>
      </c>
      <c r="F16" s="38" t="n">
        <f aca="false">F14-F15</f>
        <v>562.61420510928</v>
      </c>
      <c r="G16" s="38" t="n">
        <f aca="false">G14-G15</f>
        <v>558.005068350218</v>
      </c>
    </row>
    <row r="17" customFormat="false" ht="15" hidden="false" customHeight="false" outlineLevel="0" collapsed="false">
      <c r="A17" s="8" t="s">
        <v>443</v>
      </c>
      <c r="B17" s="39" t="n">
        <f aca="false">B16/B14</f>
        <v>0.626434653831914</v>
      </c>
      <c r="C17" s="39" t="n">
        <f aca="false">C16/C14</f>
        <v>0.578</v>
      </c>
      <c r="D17" s="39" t="n">
        <f aca="false">D16/D14</f>
        <v>0.555</v>
      </c>
      <c r="E17" s="39" t="n">
        <f aca="false">E16/E14</f>
        <v>0.55</v>
      </c>
      <c r="F17" s="39" t="n">
        <f aca="false">F16/F14</f>
        <v>0.545</v>
      </c>
      <c r="G17" s="39" t="n">
        <f aca="false">G16/G14</f>
        <v>0.54</v>
      </c>
    </row>
    <row r="18" customFormat="false" ht="15" hidden="false" customHeight="false" outlineLevel="0" collapsed="false">
      <c r="A18" s="8" t="s">
        <v>241</v>
      </c>
      <c r="B18" s="9" t="n">
        <f aca="false">Historicals!D8</f>
        <v>332</v>
      </c>
      <c r="C18" s="36" t="n">
        <f aca="false">C14*Drivers!C$37</f>
        <v>315.5379321248</v>
      </c>
      <c r="D18" s="36" t="n">
        <f aca="false">D14*Drivers!D$37</f>
        <v>312.699263735674</v>
      </c>
      <c r="E18" s="36" t="n">
        <f aca="false">E14*Drivers!E$37</f>
        <v>305.01495026837</v>
      </c>
      <c r="F18" s="36" t="n">
        <f aca="false">F14*Drivers!F$37</f>
        <v>299.372696296681</v>
      </c>
      <c r="G18" s="36" t="n">
        <f aca="false">G14*Drivers!G$37</f>
        <v>299.66938855845</v>
      </c>
    </row>
    <row r="19" customFormat="false" ht="15" hidden="false" customHeight="false" outlineLevel="0" collapsed="false">
      <c r="A19" s="8" t="s">
        <v>243</v>
      </c>
      <c r="B19" s="9" t="n">
        <f aca="false">Historicals!D9</f>
        <v>37.3</v>
      </c>
      <c r="C19" s="36" t="n">
        <f aca="false">C14*Drivers!C$42</f>
        <v>21.5139499176</v>
      </c>
      <c r="D19" s="36" t="n">
        <f aca="false">D14*Drivers!D$42</f>
        <v>22.9312793406161</v>
      </c>
      <c r="E19" s="36" t="n">
        <f aca="false">E14*Drivers!E$42</f>
        <v>22.7468776471327</v>
      </c>
      <c r="F19" s="36" t="n">
        <f aca="false">F14*Drivers!F$42</f>
        <v>22.7110321328517</v>
      </c>
      <c r="G19" s="36" t="n">
        <f aca="false">G14*Drivers!G$42</f>
        <v>22.7335398216755</v>
      </c>
    </row>
    <row r="20" customFormat="false" ht="15" hidden="false" customHeight="false" outlineLevel="0" collapsed="false">
      <c r="A20" s="8" t="s">
        <v>444</v>
      </c>
      <c r="B20" s="36" t="n">
        <f aca="false">Historicals!D10+Historicals!D11</f>
        <v>65.4</v>
      </c>
      <c r="C20" s="9" t="n">
        <f aca="false">Drivers!C$47</f>
        <v>47.9</v>
      </c>
      <c r="D20" s="9" t="n">
        <f aca="false">Drivers!D$47</f>
        <v>15</v>
      </c>
      <c r="E20" s="9" t="n">
        <f aca="false">Drivers!E$47</f>
        <v>5</v>
      </c>
      <c r="F20" s="9" t="n">
        <f aca="false">Drivers!F$47</f>
        <v>5</v>
      </c>
      <c r="G20" s="9" t="n">
        <f aca="false">Drivers!G$47</f>
        <v>5</v>
      </c>
    </row>
    <row r="21" customFormat="false" ht="15" hidden="false" customHeight="false" outlineLevel="0" collapsed="false">
      <c r="A21" s="8" t="s">
        <v>249</v>
      </c>
      <c r="B21" s="9" t="n">
        <f aca="false">Historicals!D12</f>
        <v>0</v>
      </c>
      <c r="C21" s="9" t="n">
        <f aca="false">Drivers!C$52</f>
        <v>10.1</v>
      </c>
      <c r="D21" s="9" t="n">
        <f aca="false">Drivers!D$52</f>
        <v>0</v>
      </c>
      <c r="E21" s="9" t="n">
        <f aca="false">Drivers!E$52</f>
        <v>0</v>
      </c>
      <c r="F21" s="9" t="n">
        <f aca="false">Drivers!F$52</f>
        <v>0</v>
      </c>
      <c r="G21" s="9" t="n">
        <f aca="false">Drivers!G$52</f>
        <v>0</v>
      </c>
    </row>
    <row r="22" customFormat="false" ht="15" hidden="false" customHeight="false" outlineLevel="0" collapsed="false">
      <c r="A22" s="37" t="s">
        <v>251</v>
      </c>
      <c r="B22" s="38" t="n">
        <f aca="false">B16-B18-B19-B20+B21</f>
        <v>242.1</v>
      </c>
      <c r="C22" s="38" t="n">
        <f aca="false">C16-C18-C19-C20+C21</f>
        <v>217.2939775944</v>
      </c>
      <c r="D22" s="38" t="n">
        <f aca="false">D16-D18-D19-D20+D21</f>
        <v>227.863094834707</v>
      </c>
      <c r="E22" s="38" t="n">
        <f aca="false">E16-E18-E19-E20+E21</f>
        <v>235.910113262815</v>
      </c>
      <c r="F22" s="38" t="n">
        <f aca="false">F16-F18-F19-F20+F21</f>
        <v>235.530476679747</v>
      </c>
      <c r="G22" s="38" t="n">
        <f aca="false">G16-G18-G19-G20+G21</f>
        <v>230.602139970092</v>
      </c>
    </row>
    <row r="23" customFormat="false" ht="15" hidden="false" customHeight="false" outlineLevel="0" collapsed="false">
      <c r="A23" s="8" t="s">
        <v>252</v>
      </c>
      <c r="B23" s="9" t="n">
        <f aca="false">Historicals!D14</f>
        <v>107.3</v>
      </c>
      <c r="C23" s="9" t="n">
        <f aca="false">Debt!C76</f>
        <v>89.55</v>
      </c>
      <c r="D23" s="9" t="n">
        <f aca="false">Debt!D76</f>
        <v>86.5176008758313</v>
      </c>
      <c r="E23" s="9" t="n">
        <f aca="false">Debt!E76</f>
        <v>73.0331516994511</v>
      </c>
      <c r="F23" s="9" t="n">
        <f aca="false">Debt!F76</f>
        <v>62.0838856780639</v>
      </c>
      <c r="G23" s="9" t="n">
        <f aca="false">Debt!G76</f>
        <v>57.5076206219581</v>
      </c>
      <c r="H23" s="2" t="s">
        <v>445</v>
      </c>
    </row>
    <row r="24" customFormat="false" ht="15" hidden="false" customHeight="false" outlineLevel="0" collapsed="false">
      <c r="A24" s="8" t="s">
        <v>446</v>
      </c>
      <c r="B24" s="9" t="n">
        <f aca="false">Historicals!D15</f>
        <v>1.5</v>
      </c>
      <c r="C24" s="9" t="n">
        <f aca="false">Drivers!C$174</f>
        <v>0</v>
      </c>
      <c r="D24" s="9" t="n">
        <f aca="false">Drivers!D$174</f>
        <v>0</v>
      </c>
      <c r="E24" s="9" t="n">
        <f aca="false">Drivers!E$174</f>
        <v>0</v>
      </c>
      <c r="F24" s="9" t="n">
        <f aca="false">Drivers!F$174</f>
        <v>0</v>
      </c>
      <c r="G24" s="9" t="n">
        <f aca="false">Drivers!G$174</f>
        <v>0</v>
      </c>
    </row>
    <row r="25" customFormat="false" ht="15" hidden="false" customHeight="false" outlineLevel="0" collapsed="false">
      <c r="A25" s="37" t="s">
        <v>255</v>
      </c>
      <c r="B25" s="38" t="n">
        <f aca="false">B22-B23+B24</f>
        <v>136.3</v>
      </c>
      <c r="C25" s="38" t="n">
        <f aca="false">C22-C23+C24</f>
        <v>127.7439775944</v>
      </c>
      <c r="D25" s="38" t="n">
        <f aca="false">D22-D23+D24</f>
        <v>141.345493958875</v>
      </c>
      <c r="E25" s="38" t="n">
        <f aca="false">E22-E23+E24</f>
        <v>162.876961563364</v>
      </c>
      <c r="F25" s="38" t="n">
        <f aca="false">F22-F23+F24</f>
        <v>173.446591001684</v>
      </c>
      <c r="G25" s="38" t="n">
        <f aca="false">G22-G23+G24</f>
        <v>173.094519348134</v>
      </c>
    </row>
    <row r="26" customFormat="false" ht="15" hidden="false" customHeight="false" outlineLevel="0" collapsed="false">
      <c r="A26" s="8" t="s">
        <v>447</v>
      </c>
      <c r="B26" s="9" t="n">
        <f aca="false">Historicals!D17</f>
        <v>40.9</v>
      </c>
      <c r="C26" s="36" t="n">
        <f aca="false">MAX(0,C25*Drivers!C$77)</f>
        <v>38.32319327832</v>
      </c>
      <c r="D26" s="36" t="n">
        <f aca="false">MAX(0,D25*Drivers!D$77)</f>
        <v>38.1632833688963</v>
      </c>
      <c r="E26" s="36" t="n">
        <f aca="false">MAX(0,E25*Drivers!E$77)</f>
        <v>43.9767796221082</v>
      </c>
      <c r="F26" s="36" t="n">
        <f aca="false">MAX(0,F25*Drivers!F$77)</f>
        <v>46.8305795704546</v>
      </c>
      <c r="G26" s="36" t="n">
        <f aca="false">MAX(0,G25*Drivers!G$77)</f>
        <v>46.7355202239962</v>
      </c>
    </row>
    <row r="27" customFormat="false" ht="15" hidden="false" customHeight="false" outlineLevel="0" collapsed="false">
      <c r="A27" s="37" t="s">
        <v>448</v>
      </c>
      <c r="B27" s="38" t="n">
        <f aca="false">B25-B26</f>
        <v>95.4000000000001</v>
      </c>
      <c r="C27" s="38" t="n">
        <f aca="false">C25-C26</f>
        <v>89.42078431608</v>
      </c>
      <c r="D27" s="38" t="n">
        <f aca="false">D25-D26</f>
        <v>103.182210589979</v>
      </c>
      <c r="E27" s="38" t="n">
        <f aca="false">E25-E26</f>
        <v>118.900181941255</v>
      </c>
      <c r="F27" s="38" t="n">
        <f aca="false">F25-F26</f>
        <v>126.616011431229</v>
      </c>
      <c r="G27" s="38" t="n">
        <f aca="false">G25-G26</f>
        <v>126.358999124138</v>
      </c>
    </row>
    <row r="28" customFormat="false" ht="15" hidden="false" customHeight="false" outlineLevel="0" collapsed="false">
      <c r="A28" s="24" t="s">
        <v>449</v>
      </c>
      <c r="B28" s="25"/>
      <c r="C28" s="25"/>
      <c r="D28" s="25"/>
      <c r="E28" s="25"/>
      <c r="F28" s="25"/>
      <c r="G28" s="25"/>
      <c r="H28" s="25"/>
    </row>
    <row r="29" customFormat="false" ht="15" hidden="false" customHeight="false" outlineLevel="0" collapsed="false">
      <c r="A29" s="8" t="s">
        <v>321</v>
      </c>
      <c r="B29" s="9" t="n">
        <f aca="false">Historicals!D22</f>
        <v>40.7</v>
      </c>
      <c r="C29" s="36" t="n">
        <f aca="false">C14*Drivers!C$57</f>
        <v>43.0278998352</v>
      </c>
      <c r="D29" s="36" t="n">
        <f aca="false">D14*Drivers!D$57</f>
        <v>43.7778969229943</v>
      </c>
      <c r="E29" s="36" t="n">
        <f aca="false">E14*Drivers!E$57</f>
        <v>43.4258573263443</v>
      </c>
      <c r="F29" s="36" t="n">
        <f aca="false">F14*Drivers!F$57</f>
        <v>43.3574249808987</v>
      </c>
      <c r="G29" s="36" t="n">
        <f aca="false">G14*Drivers!G$57</f>
        <v>43.4003942050169</v>
      </c>
    </row>
    <row r="30" customFormat="false" ht="15" hidden="false" customHeight="false" outlineLevel="0" collapsed="false">
      <c r="A30" s="8" t="s">
        <v>450</v>
      </c>
      <c r="C30" s="9" t="n">
        <f aca="false">Drivers!C$62</f>
        <v>2</v>
      </c>
      <c r="D30" s="9" t="n">
        <f aca="false">Drivers!D$62</f>
        <v>4.5</v>
      </c>
      <c r="E30" s="9" t="n">
        <f aca="false">Drivers!E$62</f>
        <v>4.5</v>
      </c>
      <c r="F30" s="9" t="n">
        <f aca="false">Drivers!F$62</f>
        <v>4.5</v>
      </c>
      <c r="G30" s="9" t="n">
        <f aca="false">Drivers!G$62</f>
        <v>4.5</v>
      </c>
    </row>
    <row r="31" customFormat="false" ht="15" hidden="false" customHeight="false" outlineLevel="0" collapsed="false">
      <c r="A31" s="8" t="s">
        <v>451</v>
      </c>
      <c r="C31" s="36" t="n">
        <f aca="false">C29-C30</f>
        <v>41.0278998352</v>
      </c>
      <c r="D31" s="36" t="n">
        <f aca="false">D29-D30</f>
        <v>39.2778969229943</v>
      </c>
      <c r="E31" s="36" t="n">
        <f aca="false">E29-E30</f>
        <v>38.9258573263443</v>
      </c>
      <c r="F31" s="36" t="n">
        <f aca="false">F29-F30</f>
        <v>38.8574249808987</v>
      </c>
      <c r="G31" s="36" t="n">
        <f aca="false">G29-G30</f>
        <v>38.9003942050169</v>
      </c>
    </row>
    <row r="32" customFormat="false" ht="15" hidden="false" customHeight="false" outlineLevel="0" collapsed="false">
      <c r="A32" s="37" t="s">
        <v>452</v>
      </c>
      <c r="B32" s="38" t="n">
        <f aca="false">B22+B29+B20-B21</f>
        <v>348.2</v>
      </c>
      <c r="C32" s="38" t="n">
        <f aca="false">C22+C29+C20-C21</f>
        <v>298.1218774296</v>
      </c>
      <c r="D32" s="38" t="n">
        <f aca="false">D22+D29+D20-D21</f>
        <v>286.640991757701</v>
      </c>
      <c r="E32" s="38" t="n">
        <f aca="false">E22+E29+E20-E21</f>
        <v>284.335970589159</v>
      </c>
      <c r="F32" s="38" t="n">
        <f aca="false">F22+F29+F20-F21</f>
        <v>283.887901660646</v>
      </c>
      <c r="G32" s="38" t="n">
        <f aca="false">G22+G29+G20-G21</f>
        <v>279.002534175109</v>
      </c>
      <c r="H32" s="2" t="s">
        <v>453</v>
      </c>
    </row>
    <row r="33" customFormat="false" ht="15" hidden="false" customHeight="false" outlineLevel="0" collapsed="false">
      <c r="A33" s="8" t="s">
        <v>266</v>
      </c>
      <c r="B33" s="39" t="n">
        <f aca="false">B32/B14</f>
        <v>0.322288041466124</v>
      </c>
      <c r="C33" s="39" t="n">
        <f aca="false">C32/C14</f>
        <v>0.291</v>
      </c>
      <c r="D33" s="39" t="n">
        <f aca="false">D32/D14</f>
        <v>0.275</v>
      </c>
      <c r="E33" s="39" t="n">
        <f aca="false">E32/E14</f>
        <v>0.275</v>
      </c>
      <c r="F33" s="39" t="n">
        <f aca="false">F32/F14</f>
        <v>0.275</v>
      </c>
      <c r="G33" s="39" t="n">
        <f aca="false">G32/G14</f>
        <v>0.27</v>
      </c>
    </row>
    <row r="34" customFormat="false" ht="15" hidden="false" customHeight="false" outlineLevel="0" collapsed="false">
      <c r="A34" s="8" t="s">
        <v>454</v>
      </c>
      <c r="B34" s="9" t="n">
        <f aca="false">Historicals!D23</f>
        <v>31.6</v>
      </c>
      <c r="C34" s="36" t="n">
        <f aca="false">C14*Drivers!C$67</f>
        <v>20.489476112</v>
      </c>
      <c r="D34" s="36" t="n">
        <f aca="false">D14*Drivers!D$67</f>
        <v>20.8466175823782</v>
      </c>
      <c r="E34" s="36" t="n">
        <f aca="false">E14*Drivers!E$67</f>
        <v>20.6789796792115</v>
      </c>
      <c r="F34" s="36" t="n">
        <f aca="false">F14*Drivers!F$67</f>
        <v>20.646392848047</v>
      </c>
      <c r="G34" s="36" t="n">
        <f aca="false">G14*Drivers!G$67</f>
        <v>20.6668543833414</v>
      </c>
    </row>
    <row r="35" customFormat="false" ht="15" hidden="false" customHeight="false" outlineLevel="0" collapsed="false">
      <c r="A35" s="3" t="s">
        <v>455</v>
      </c>
      <c r="B35" s="27" t="n">
        <f aca="false">B32+B34</f>
        <v>379.8</v>
      </c>
      <c r="C35" s="27" t="n">
        <f aca="false">C32+C34</f>
        <v>318.6113535416</v>
      </c>
      <c r="D35" s="27" t="n">
        <f aca="false">D32+D34</f>
        <v>307.487609340079</v>
      </c>
      <c r="E35" s="27" t="n">
        <f aca="false">E32+E34</f>
        <v>305.01495026837</v>
      </c>
      <c r="F35" s="27" t="n">
        <f aca="false">F32+F34</f>
        <v>304.534294508693</v>
      </c>
      <c r="G35" s="27" t="n">
        <f aca="false">G32+G34</f>
        <v>299.66938855845</v>
      </c>
    </row>
    <row r="36" customFormat="false" ht="15" hidden="false" customHeight="false" outlineLevel="0" collapsed="false">
      <c r="A36" s="24" t="s">
        <v>289</v>
      </c>
      <c r="B36" s="25"/>
      <c r="C36" s="25"/>
      <c r="D36" s="25"/>
      <c r="E36" s="25"/>
      <c r="F36" s="25"/>
      <c r="G36" s="25"/>
      <c r="H36" s="25"/>
    </row>
    <row r="37" customFormat="false" ht="15" hidden="false" customHeight="false" outlineLevel="0" collapsed="false">
      <c r="A37" s="8" t="s">
        <v>456</v>
      </c>
      <c r="B37" s="9" t="n">
        <f aca="false">Historicals!D44</f>
        <v>228.6</v>
      </c>
      <c r="C37" s="36" t="n">
        <f aca="false">C79</f>
        <v>200</v>
      </c>
      <c r="D37" s="36" t="n">
        <f aca="false">D79</f>
        <v>200</v>
      </c>
      <c r="E37" s="36" t="n">
        <f aca="false">E79</f>
        <v>200</v>
      </c>
      <c r="F37" s="36" t="n">
        <f aca="false">F79</f>
        <v>200</v>
      </c>
      <c r="G37" s="36" t="n">
        <f aca="false">G79</f>
        <v>200</v>
      </c>
    </row>
    <row r="38" customFormat="false" ht="15" hidden="false" customHeight="false" outlineLevel="0" collapsed="false">
      <c r="A38" s="8" t="s">
        <v>457</v>
      </c>
      <c r="B38" s="9" t="n">
        <f aca="false">Historicals!D45</f>
        <v>145.6</v>
      </c>
      <c r="C38" s="36" t="n">
        <f aca="false">Drivers!C$83/365*C14</f>
        <v>182.440540723288</v>
      </c>
      <c r="D38" s="36" t="n">
        <f aca="false">Drivers!D$83/365*D14</f>
        <v>177.053464398281</v>
      </c>
      <c r="E38" s="36" t="n">
        <f aca="false">Drivers!E$83/365*E14</f>
        <v>175.62969042618</v>
      </c>
      <c r="F38" s="36" t="n">
        <f aca="false">Drivers!F$83/365*F14</f>
        <v>175.352925558755</v>
      </c>
      <c r="G38" s="36" t="n">
        <f aca="false">Drivers!G$83/365*G14</f>
        <v>175.526708461256</v>
      </c>
    </row>
    <row r="39" customFormat="false" ht="15" hidden="false" customHeight="false" outlineLevel="0" collapsed="false">
      <c r="A39" s="8" t="s">
        <v>298</v>
      </c>
      <c r="B39" s="9" t="n">
        <f aca="false">Historicals!D46</f>
        <v>178.6</v>
      </c>
      <c r="C39" s="36" t="n">
        <f aca="false">Drivers!C$88/365*C15</f>
        <v>236.892025185315</v>
      </c>
      <c r="D39" s="36" t="n">
        <f aca="false">Drivers!D$88/365*D15</f>
        <v>241.449522820559</v>
      </c>
      <c r="E39" s="36" t="n">
        <f aca="false">Drivers!E$88/365*E15</f>
        <v>235.825350451282</v>
      </c>
      <c r="F39" s="36" t="n">
        <f aca="false">Drivers!F$88/365*F15</f>
        <v>231.63555811713</v>
      </c>
      <c r="G39" s="36" t="n">
        <f aca="false">Drivers!G$88/365*G15</f>
        <v>234.413088074064</v>
      </c>
    </row>
    <row r="40" customFormat="false" ht="15" hidden="false" customHeight="false" outlineLevel="0" collapsed="false">
      <c r="A40" s="8" t="s">
        <v>458</v>
      </c>
      <c r="B40" s="9" t="n">
        <f aca="false">Historicals!D47</f>
        <v>78.6</v>
      </c>
      <c r="C40" s="36" t="n">
        <f aca="false">B40+Drivers!C$163</f>
        <v>83.8</v>
      </c>
      <c r="D40" s="36" t="n">
        <f aca="false">C40+Drivers!D$163</f>
        <v>83.8</v>
      </c>
      <c r="E40" s="36" t="n">
        <f aca="false">D40+Drivers!E$163</f>
        <v>83.8</v>
      </c>
      <c r="F40" s="36" t="n">
        <f aca="false">E40+Drivers!F$163</f>
        <v>83.8</v>
      </c>
      <c r="G40" s="36" t="n">
        <f aca="false">F40+Drivers!G$163</f>
        <v>83.8</v>
      </c>
    </row>
    <row r="41" customFormat="false" ht="15" hidden="false" customHeight="false" outlineLevel="0" collapsed="false">
      <c r="A41" s="37" t="s">
        <v>301</v>
      </c>
      <c r="B41" s="38" t="n">
        <f aca="false">SUM(B37:B40)</f>
        <v>631.4</v>
      </c>
      <c r="C41" s="38" t="n">
        <f aca="false">SUM(C37:C40)</f>
        <v>703.132565908603</v>
      </c>
      <c r="D41" s="38" t="n">
        <f aca="false">SUM(D37:D40)</f>
        <v>702.30298721884</v>
      </c>
      <c r="E41" s="38" t="n">
        <f aca="false">SUM(E37:E40)</f>
        <v>695.255040877463</v>
      </c>
      <c r="F41" s="38" t="n">
        <f aca="false">SUM(F37:F40)</f>
        <v>690.788483675885</v>
      </c>
      <c r="G41" s="38" t="n">
        <f aca="false">SUM(G37:G40)</f>
        <v>693.73979653532</v>
      </c>
    </row>
    <row r="42" customFormat="false" ht="15" hidden="false" customHeight="false" outlineLevel="0" collapsed="false">
      <c r="A42" s="8" t="s">
        <v>302</v>
      </c>
      <c r="B42" s="9" t="n">
        <f aca="false">Historicals!D49</f>
        <v>257.2</v>
      </c>
      <c r="C42" s="36" t="n">
        <f aca="false">B42+C64+Drivers!C$164-C31</f>
        <v>310.2944691928</v>
      </c>
      <c r="D42" s="36" t="n">
        <f aca="false">C42+D64+Drivers!D$164-D31</f>
        <v>291.863189852184</v>
      </c>
      <c r="E42" s="36" t="n">
        <f aca="false">D42+E64+Drivers!E$164-E31</f>
        <v>278.786057124854</v>
      </c>
      <c r="F42" s="36" t="n">
        <f aca="false">E42+F64+Drivers!F$164-F31</f>
        <v>265.736623204014</v>
      </c>
      <c r="G42" s="36" t="n">
        <f aca="false">F42+G64+Drivers!G$164-G31</f>
        <v>252.669796978174</v>
      </c>
    </row>
    <row r="43" customFormat="false" ht="15" hidden="false" customHeight="false" outlineLevel="0" collapsed="false">
      <c r="A43" s="8" t="s">
        <v>303</v>
      </c>
      <c r="B43" s="9" t="n">
        <f aca="false">Historicals!D50</f>
        <v>22.4</v>
      </c>
      <c r="C43" s="36" t="n">
        <f aca="false">B43+Drivers!C$168-C30</f>
        <v>86.1</v>
      </c>
      <c r="D43" s="36" t="n">
        <f aca="false">C43+Drivers!D$168-D30</f>
        <v>81.6</v>
      </c>
      <c r="E43" s="36" t="n">
        <f aca="false">D43+Drivers!E$168-E30</f>
        <v>77.1</v>
      </c>
      <c r="F43" s="36" t="n">
        <f aca="false">E43+Drivers!F$168-F30</f>
        <v>72.6</v>
      </c>
      <c r="G43" s="36" t="n">
        <f aca="false">F43+Drivers!G$168-G30</f>
        <v>68.1</v>
      </c>
    </row>
    <row r="44" customFormat="false" ht="15" hidden="false" customHeight="false" outlineLevel="0" collapsed="false">
      <c r="A44" s="8" t="s">
        <v>305</v>
      </c>
      <c r="B44" s="9" t="n">
        <f aca="false">Historicals!D51</f>
        <v>179.9</v>
      </c>
      <c r="C44" s="36" t="n">
        <f aca="false">B44</f>
        <v>179.9</v>
      </c>
      <c r="D44" s="36" t="n">
        <f aca="false">C44</f>
        <v>179.9</v>
      </c>
      <c r="E44" s="36" t="n">
        <f aca="false">D44</f>
        <v>179.9</v>
      </c>
      <c r="F44" s="36" t="n">
        <f aca="false">E44</f>
        <v>179.9</v>
      </c>
      <c r="G44" s="36" t="n">
        <f aca="false">F44</f>
        <v>179.9</v>
      </c>
      <c r="H44" s="2" t="s">
        <v>459</v>
      </c>
    </row>
    <row r="45" customFormat="false" ht="15" hidden="false" customHeight="false" outlineLevel="0" collapsed="false">
      <c r="A45" s="37" t="s">
        <v>306</v>
      </c>
      <c r="B45" s="38" t="n">
        <f aca="false">B41+B42+B43+B44</f>
        <v>1090.9</v>
      </c>
      <c r="C45" s="38" t="n">
        <f aca="false">C41+C42+C43+C44</f>
        <v>1279.4270351014</v>
      </c>
      <c r="D45" s="38" t="n">
        <f aca="false">D41+D42+D43+D44</f>
        <v>1255.66617707102</v>
      </c>
      <c r="E45" s="38" t="n">
        <f aca="false">E41+E42+E43+E44</f>
        <v>1231.04109800232</v>
      </c>
      <c r="F45" s="38" t="n">
        <f aca="false">F41+F42+F43+F44</f>
        <v>1209.0251068799</v>
      </c>
      <c r="G45" s="38" t="n">
        <f aca="false">G41+G42+G43+G44</f>
        <v>1194.40959351349</v>
      </c>
    </row>
    <row r="46" customFormat="false" ht="15" hidden="false" customHeight="false" outlineLevel="0" collapsed="false">
      <c r="A46" s="8" t="s">
        <v>308</v>
      </c>
      <c r="B46" s="9" t="n">
        <f aca="false">Historicals!D54</f>
        <v>74.2</v>
      </c>
      <c r="C46" s="36" t="n">
        <f aca="false">Drivers!C$93/365*C15</f>
        <v>85.2811290667134</v>
      </c>
      <c r="D46" s="36" t="n">
        <f aca="false">Drivers!D$93/365*D15</f>
        <v>91.4966612793697</v>
      </c>
      <c r="E46" s="36" t="n">
        <f aca="false">Drivers!E$93/365*E15</f>
        <v>91.780676932391</v>
      </c>
      <c r="F46" s="36" t="n">
        <f aca="false">Drivers!F$93/365*F15</f>
        <v>92.654223246852</v>
      </c>
      <c r="G46" s="36" t="n">
        <f aca="false">Drivers!G$93/365*G15</f>
        <v>93.7652352296256</v>
      </c>
    </row>
    <row r="47" customFormat="false" ht="15" hidden="false" customHeight="false" outlineLevel="0" collapsed="false">
      <c r="A47" s="8" t="s">
        <v>460</v>
      </c>
      <c r="B47" s="9" t="n">
        <f aca="false">Historicals!D55</f>
        <v>177.8</v>
      </c>
      <c r="C47" s="36" t="n">
        <f aca="false">B47+Drivers!C$165</f>
        <v>199.2</v>
      </c>
      <c r="D47" s="36" t="n">
        <f aca="false">C47+Drivers!D$165</f>
        <v>199.2</v>
      </c>
      <c r="E47" s="36" t="n">
        <f aca="false">D47+Drivers!E$165</f>
        <v>199.2</v>
      </c>
      <c r="F47" s="36" t="n">
        <f aca="false">E47+Drivers!F$165</f>
        <v>199.2</v>
      </c>
      <c r="G47" s="36" t="n">
        <f aca="false">F47+Drivers!G$165</f>
        <v>199.2</v>
      </c>
      <c r="H47" s="2" t="s">
        <v>461</v>
      </c>
    </row>
    <row r="48" customFormat="false" ht="15" hidden="false" customHeight="false" outlineLevel="0" collapsed="false">
      <c r="A48" s="8" t="s">
        <v>311</v>
      </c>
      <c r="B48" s="9" t="n">
        <f aca="false">Historicals!D56</f>
        <v>0</v>
      </c>
      <c r="C48" s="9" t="n">
        <f aca="false">Debt!C56</f>
        <v>24.3356456066094</v>
      </c>
      <c r="D48" s="9" t="n">
        <f aca="false">Debt!D56</f>
        <v>0</v>
      </c>
      <c r="E48" s="9" t="n">
        <f aca="false">Debt!E56</f>
        <v>0</v>
      </c>
      <c r="F48" s="9" t="n">
        <f aca="false">Debt!F56</f>
        <v>0</v>
      </c>
      <c r="G48" s="9" t="n">
        <f aca="false">Debt!G56</f>
        <v>0</v>
      </c>
    </row>
    <row r="49" customFormat="false" ht="15" hidden="false" customHeight="false" outlineLevel="0" collapsed="false">
      <c r="A49" s="8" t="s">
        <v>462</v>
      </c>
      <c r="B49" s="9" t="n">
        <f aca="false">Historicals!D57</f>
        <v>1398.2</v>
      </c>
      <c r="C49" s="36" t="n">
        <f aca="false">Debt!C60-Debt!C63</f>
        <v>1395.7</v>
      </c>
      <c r="D49" s="36" t="n">
        <f aca="false">Debt!D60-Debt!D63</f>
        <v>1274.33042719122</v>
      </c>
      <c r="E49" s="36" t="n">
        <f aca="false">Debt!E60-Debt!E63</f>
        <v>1118.14217084902</v>
      </c>
      <c r="F49" s="36" t="n">
        <f aca="false">Debt!F60-Debt!F63</f>
        <v>956.290229132867</v>
      </c>
      <c r="G49" s="36" t="n">
        <f aca="false">Debt!G60-Debt!G63</f>
        <v>801.837850276209</v>
      </c>
    </row>
    <row r="50" customFormat="false" ht="15" hidden="false" customHeight="false" outlineLevel="0" collapsed="false">
      <c r="A50" s="8" t="s">
        <v>463</v>
      </c>
      <c r="B50" s="9" t="n">
        <f aca="false">Historicals!D58</f>
        <v>91.3</v>
      </c>
      <c r="C50" s="36" t="n">
        <f aca="false">B50+Drivers!C$166+Drivers!C$167</f>
        <v>151.3</v>
      </c>
      <c r="D50" s="36" t="n">
        <f aca="false">C50+Drivers!D$166+Drivers!D$167</f>
        <v>151.3</v>
      </c>
      <c r="E50" s="36" t="n">
        <f aca="false">D50+Drivers!E$166+Drivers!E$167</f>
        <v>151.3</v>
      </c>
      <c r="F50" s="36" t="n">
        <f aca="false">E50+Drivers!F$166+Drivers!F$167</f>
        <v>151.3</v>
      </c>
      <c r="G50" s="36" t="n">
        <f aca="false">F50+Drivers!G$166+Drivers!G$167</f>
        <v>151.3</v>
      </c>
    </row>
    <row r="51" customFormat="false" ht="15" hidden="false" customHeight="false" outlineLevel="0" collapsed="false">
      <c r="A51" s="37" t="s">
        <v>316</v>
      </c>
      <c r="B51" s="38" t="n">
        <f aca="false">SUM(B46:B50)</f>
        <v>1741.5</v>
      </c>
      <c r="C51" s="38" t="n">
        <f aca="false">SUM(C46:C50)</f>
        <v>1855.81677467332</v>
      </c>
      <c r="D51" s="38" t="n">
        <f aca="false">SUM(D46:D50)</f>
        <v>1716.32708847059</v>
      </c>
      <c r="E51" s="38" t="n">
        <f aca="false">SUM(E46:E50)</f>
        <v>1560.42284778141</v>
      </c>
      <c r="F51" s="38" t="n">
        <f aca="false">SUM(F46:F50)</f>
        <v>1399.44445237972</v>
      </c>
      <c r="G51" s="38" t="n">
        <f aca="false">SUM(G46:G50)</f>
        <v>1246.10308550583</v>
      </c>
    </row>
    <row r="52" customFormat="false" ht="15" hidden="false" customHeight="false" outlineLevel="0" collapsed="false">
      <c r="A52" s="8" t="s">
        <v>317</v>
      </c>
      <c r="B52" s="9" t="n">
        <f aca="false">Historicals!D60</f>
        <v>-650.6</v>
      </c>
      <c r="C52" s="36" t="n">
        <f aca="false">B52+C27+C34-Drivers!C$99-Drivers!C$104-Drivers!C$109</f>
        <v>-576.38973957192</v>
      </c>
      <c r="D52" s="36" t="n">
        <f aca="false">C52+D27+D34-Drivers!D$99-Drivers!D$104-Drivers!D$109</f>
        <v>-460.660911399563</v>
      </c>
      <c r="E52" s="36" t="n">
        <f aca="false">D52+E27+E34-Drivers!E$99-Drivers!E$104-Drivers!E$109</f>
        <v>-329.381749779096</v>
      </c>
      <c r="F52" s="36" t="n">
        <f aca="false">E52+F27+F34-Drivers!F$99-Drivers!F$104-Drivers!F$109</f>
        <v>-190.41934549982</v>
      </c>
      <c r="G52" s="36" t="n">
        <f aca="false">F52+G27+G34-Drivers!G$99-Drivers!G$104-Drivers!G$109</f>
        <v>-51.6934919923408</v>
      </c>
      <c r="H52" s="2" t="s">
        <v>464</v>
      </c>
    </row>
    <row r="53" customFormat="false" ht="15" hidden="false" customHeight="false" outlineLevel="0" collapsed="false">
      <c r="A53" s="37" t="s">
        <v>319</v>
      </c>
      <c r="B53" s="38" t="n">
        <f aca="false">B51+B52</f>
        <v>1090.9</v>
      </c>
      <c r="C53" s="38" t="n">
        <f aca="false">C51+C52</f>
        <v>1279.4270351014</v>
      </c>
      <c r="D53" s="38" t="n">
        <f aca="false">D51+D52</f>
        <v>1255.66617707102</v>
      </c>
      <c r="E53" s="38" t="n">
        <f aca="false">E51+E52</f>
        <v>1231.04109800232</v>
      </c>
      <c r="F53" s="38" t="n">
        <f aca="false">F51+F52</f>
        <v>1209.0251068799</v>
      </c>
      <c r="G53" s="38" t="n">
        <f aca="false">G51+G52</f>
        <v>1194.40959351349</v>
      </c>
    </row>
    <row r="54" customFormat="false" ht="15" hidden="false" customHeight="false" outlineLevel="0" collapsed="false">
      <c r="A54" s="24" t="s">
        <v>320</v>
      </c>
      <c r="B54" s="25"/>
      <c r="C54" s="25"/>
      <c r="D54" s="25"/>
      <c r="E54" s="25"/>
      <c r="F54" s="25"/>
      <c r="G54" s="25"/>
      <c r="H54" s="25"/>
    </row>
    <row r="55" customFormat="false" ht="15" hidden="false" customHeight="false" outlineLevel="0" collapsed="false">
      <c r="A55" s="8" t="s">
        <v>258</v>
      </c>
      <c r="C55" s="36" t="n">
        <f aca="false">C27</f>
        <v>89.42078431608</v>
      </c>
      <c r="D55" s="36" t="n">
        <f aca="false">D27</f>
        <v>103.182210589979</v>
      </c>
      <c r="E55" s="36" t="n">
        <f aca="false">E27</f>
        <v>118.900181941255</v>
      </c>
      <c r="F55" s="36" t="n">
        <f aca="false">F27</f>
        <v>126.616011431229</v>
      </c>
      <c r="G55" s="36" t="n">
        <f aca="false">G27</f>
        <v>126.358999124138</v>
      </c>
    </row>
    <row r="56" customFormat="false" ht="15" hidden="false" customHeight="false" outlineLevel="0" collapsed="false">
      <c r="A56" s="8" t="s">
        <v>321</v>
      </c>
      <c r="C56" s="36" t="n">
        <f aca="false">C29</f>
        <v>43.0278998352</v>
      </c>
      <c r="D56" s="36" t="n">
        <f aca="false">D29</f>
        <v>43.7778969229943</v>
      </c>
      <c r="E56" s="36" t="n">
        <f aca="false">E29</f>
        <v>43.4258573263443</v>
      </c>
      <c r="F56" s="36" t="n">
        <f aca="false">F29</f>
        <v>43.3574249808987</v>
      </c>
      <c r="G56" s="36" t="n">
        <f aca="false">G29</f>
        <v>43.4003942050169</v>
      </c>
    </row>
    <row r="57" customFormat="false" ht="15" hidden="false" customHeight="false" outlineLevel="0" collapsed="false">
      <c r="A57" s="8" t="s">
        <v>264</v>
      </c>
      <c r="C57" s="36" t="n">
        <f aca="false">C34</f>
        <v>20.489476112</v>
      </c>
      <c r="D57" s="36" t="n">
        <f aca="false">D34</f>
        <v>20.8466175823782</v>
      </c>
      <c r="E57" s="36" t="n">
        <f aca="false">E34</f>
        <v>20.6789796792115</v>
      </c>
      <c r="F57" s="36" t="n">
        <f aca="false">F34</f>
        <v>20.646392848047</v>
      </c>
      <c r="G57" s="36" t="n">
        <f aca="false">G34</f>
        <v>20.6668543833414</v>
      </c>
    </row>
    <row r="58" customFormat="false" ht="15" hidden="false" customHeight="false" outlineLevel="0" collapsed="false">
      <c r="A58" s="8" t="s">
        <v>465</v>
      </c>
      <c r="C58" s="9" t="n">
        <f aca="false">Debt!C74</f>
        <v>7</v>
      </c>
      <c r="D58" s="9" t="n">
        <f aca="false">Debt!D74</f>
        <v>6</v>
      </c>
      <c r="E58" s="9" t="n">
        <f aca="false">Debt!E74</f>
        <v>3</v>
      </c>
      <c r="F58" s="9" t="n">
        <f aca="false">Debt!F74</f>
        <v>2</v>
      </c>
      <c r="G58" s="9" t="n">
        <f aca="false">Debt!G74</f>
        <v>0.6</v>
      </c>
    </row>
    <row r="59" customFormat="false" ht="15" hidden="false" customHeight="false" outlineLevel="0" collapsed="false">
      <c r="A59" s="8" t="s">
        <v>249</v>
      </c>
      <c r="C59" s="36" t="n">
        <f aca="false">-C21</f>
        <v>-10.1</v>
      </c>
      <c r="D59" s="36" t="n">
        <f aca="false">-D21</f>
        <v>-0</v>
      </c>
      <c r="E59" s="36" t="n">
        <f aca="false">-E21</f>
        <v>-0</v>
      </c>
      <c r="F59" s="36" t="n">
        <f aca="false">-F21</f>
        <v>-0</v>
      </c>
      <c r="G59" s="36" t="n">
        <f aca="false">-G21</f>
        <v>-0</v>
      </c>
    </row>
    <row r="60" customFormat="false" ht="15" hidden="false" customHeight="false" outlineLevel="0" collapsed="false">
      <c r="A60" s="8" t="s">
        <v>466</v>
      </c>
      <c r="C60" s="36" t="n">
        <f aca="false">-(C38-B38-Drivers!C$161)</f>
        <v>-21.4405407232877</v>
      </c>
      <c r="D60" s="36" t="n">
        <f aca="false">-(D38-C38-Drivers!D$161)</f>
        <v>5.38707632500675</v>
      </c>
      <c r="E60" s="36" t="n">
        <f aca="false">-(E38-D38-Drivers!E$161)</f>
        <v>1.42377397210066</v>
      </c>
      <c r="F60" s="36" t="n">
        <f aca="false">-(F38-E38-Drivers!F$161)</f>
        <v>0.276764867425015</v>
      </c>
      <c r="G60" s="36" t="n">
        <f aca="false">-(G38-F38-Drivers!G$161)</f>
        <v>-0.173782902500477</v>
      </c>
    </row>
    <row r="61" customFormat="false" ht="15" hidden="false" customHeight="false" outlineLevel="0" collapsed="false">
      <c r="A61" s="8" t="s">
        <v>467</v>
      </c>
      <c r="C61" s="36" t="n">
        <f aca="false">-(C39-B39-Drivers!C$162)</f>
        <v>-23.7920251853151</v>
      </c>
      <c r="D61" s="36" t="n">
        <f aca="false">-(D39-C39-Drivers!D$162)</f>
        <v>-4.55749763524378</v>
      </c>
      <c r="E61" s="36" t="n">
        <f aca="false">-(E39-D39-Drivers!E$162)</f>
        <v>5.62417236927649</v>
      </c>
      <c r="F61" s="36" t="n">
        <f aca="false">-(F39-E39-Drivers!F$162)</f>
        <v>4.18979233415249</v>
      </c>
      <c r="G61" s="36" t="n">
        <f aca="false">-(G39-F39-Drivers!G$162)</f>
        <v>-2.77752995693419</v>
      </c>
    </row>
    <row r="62" customFormat="false" ht="15" hidden="false" customHeight="false" outlineLevel="0" collapsed="false">
      <c r="A62" s="8" t="s">
        <v>468</v>
      </c>
      <c r="C62" s="36" t="n">
        <f aca="false">C46-B46</f>
        <v>11.0811290667134</v>
      </c>
      <c r="D62" s="36" t="n">
        <f aca="false">D46-C46</f>
        <v>6.21553221265626</v>
      </c>
      <c r="E62" s="36" t="n">
        <f aca="false">E46-D46</f>
        <v>0.284015653021285</v>
      </c>
      <c r="F62" s="36" t="n">
        <f aca="false">F46-E46</f>
        <v>0.873546314460995</v>
      </c>
      <c r="G62" s="36" t="n">
        <f aca="false">G46-F46</f>
        <v>1.11101198277366</v>
      </c>
    </row>
    <row r="63" customFormat="false" ht="15" hidden="false" customHeight="false" outlineLevel="0" collapsed="false">
      <c r="A63" s="37" t="s">
        <v>327</v>
      </c>
      <c r="B63" s="46" t="n">
        <f aca="false">Historicals!D69</f>
        <v>191.7</v>
      </c>
      <c r="C63" s="38" t="n">
        <f aca="false">SUM(C55:C62)</f>
        <v>115.686723421391</v>
      </c>
      <c r="D63" s="38" t="n">
        <f aca="false">SUM(D55:D62)</f>
        <v>180.851835997771</v>
      </c>
      <c r="E63" s="38" t="n">
        <f aca="false">SUM(E55:E62)</f>
        <v>193.33698094121</v>
      </c>
      <c r="F63" s="38" t="n">
        <f aca="false">SUM(F55:F62)</f>
        <v>197.959932776213</v>
      </c>
      <c r="G63" s="38" t="n">
        <f aca="false">SUM(G55:G62)</f>
        <v>189.185946835835</v>
      </c>
    </row>
    <row r="64" customFormat="false" ht="15" hidden="false" customHeight="false" outlineLevel="0" collapsed="false">
      <c r="A64" s="8" t="s">
        <v>328</v>
      </c>
      <c r="B64" s="9" t="n">
        <f aca="false">Historicals!D70</f>
        <v>9.3</v>
      </c>
      <c r="C64" s="36" t="n">
        <f aca="false">C14*Drivers!C$72</f>
        <v>5.122369028</v>
      </c>
      <c r="D64" s="36" t="n">
        <f aca="false">D14*Drivers!D$72</f>
        <v>20.8466175823782</v>
      </c>
      <c r="E64" s="36" t="n">
        <f aca="false">E14*Drivers!E$72</f>
        <v>25.8487245990144</v>
      </c>
      <c r="F64" s="36" t="n">
        <f aca="false">F14*Drivers!F$72</f>
        <v>25.8079910600587</v>
      </c>
      <c r="G64" s="36" t="n">
        <f aca="false">G14*Drivers!G$72</f>
        <v>25.8335679791768</v>
      </c>
    </row>
    <row r="65" customFormat="false" ht="15" hidden="false" customHeight="false" outlineLevel="0" collapsed="false">
      <c r="A65" s="37" t="s">
        <v>469</v>
      </c>
      <c r="B65" s="38" t="n">
        <f aca="false">B63-B64</f>
        <v>182.4</v>
      </c>
      <c r="C65" s="38" t="n">
        <f aca="false">C63-C64</f>
        <v>110.564354393391</v>
      </c>
      <c r="D65" s="38" t="n">
        <f aca="false">D63-D64</f>
        <v>160.005218415393</v>
      </c>
      <c r="E65" s="38" t="n">
        <f aca="false">E63-E64</f>
        <v>167.488256342195</v>
      </c>
      <c r="F65" s="38" t="n">
        <f aca="false">F63-F64</f>
        <v>172.151941716154</v>
      </c>
      <c r="G65" s="38" t="n">
        <f aca="false">G63-G64</f>
        <v>163.352378856658</v>
      </c>
    </row>
    <row r="66" customFormat="false" ht="15" hidden="false" customHeight="false" outlineLevel="0" collapsed="false">
      <c r="A66" s="8" t="s">
        <v>331</v>
      </c>
      <c r="C66" s="9" t="n">
        <f aca="false">-Drivers!C$160</f>
        <v>-128.4</v>
      </c>
      <c r="D66" s="9" t="n">
        <f aca="false">-Drivers!D$160</f>
        <v>-0</v>
      </c>
      <c r="E66" s="9" t="n">
        <f aca="false">-Drivers!E$160</f>
        <v>-0</v>
      </c>
      <c r="F66" s="9" t="n">
        <f aca="false">-Drivers!F$160</f>
        <v>-0</v>
      </c>
      <c r="G66" s="9" t="n">
        <f aca="false">-Drivers!G$160</f>
        <v>-0</v>
      </c>
    </row>
    <row r="67" customFormat="false" ht="15" hidden="false" customHeight="false" outlineLevel="0" collapsed="false">
      <c r="A67" s="8" t="s">
        <v>332</v>
      </c>
      <c r="C67" s="9" t="n">
        <f aca="false">Drivers!C$52</f>
        <v>10.1</v>
      </c>
      <c r="D67" s="9" t="n">
        <f aca="false">Drivers!D$52</f>
        <v>0</v>
      </c>
      <c r="E67" s="9" t="n">
        <f aca="false">Drivers!E$52</f>
        <v>0</v>
      </c>
      <c r="F67" s="9" t="n">
        <f aca="false">Drivers!F$52</f>
        <v>0</v>
      </c>
      <c r="G67" s="9" t="n">
        <f aca="false">Drivers!G$52</f>
        <v>0</v>
      </c>
    </row>
    <row r="68" customFormat="false" ht="15" hidden="false" customHeight="false" outlineLevel="0" collapsed="false">
      <c r="A68" s="8" t="s">
        <v>337</v>
      </c>
      <c r="C68" s="9" t="n">
        <f aca="false">-Drivers!C$99</f>
        <v>-19</v>
      </c>
      <c r="D68" s="9" t="n">
        <f aca="false">-Drivers!D$99</f>
        <v>-2.3</v>
      </c>
      <c r="E68" s="9" t="n">
        <f aca="false">-Drivers!E$99</f>
        <v>-2.3</v>
      </c>
      <c r="F68" s="9" t="n">
        <f aca="false">-Drivers!F$99</f>
        <v>-2.3</v>
      </c>
      <c r="G68" s="9" t="n">
        <f aca="false">-Drivers!G$99</f>
        <v>-2.3</v>
      </c>
    </row>
    <row r="69" customFormat="false" ht="15" hidden="false" customHeight="false" outlineLevel="0" collapsed="false">
      <c r="A69" s="8" t="s">
        <v>338</v>
      </c>
      <c r="C69" s="9" t="n">
        <f aca="false">-Drivers!C$104</f>
        <v>-8.7</v>
      </c>
      <c r="D69" s="9" t="n">
        <f aca="false">-Drivers!D$104</f>
        <v>-0</v>
      </c>
      <c r="E69" s="9" t="n">
        <f aca="false">-Drivers!E$104</f>
        <v>-0</v>
      </c>
      <c r="F69" s="9" t="n">
        <f aca="false">-Drivers!F$104</f>
        <v>-0</v>
      </c>
      <c r="G69" s="9" t="n">
        <f aca="false">-Drivers!G$104</f>
        <v>-0</v>
      </c>
    </row>
    <row r="70" customFormat="false" ht="15" hidden="false" customHeight="false" outlineLevel="0" collapsed="false">
      <c r="A70" s="8" t="s">
        <v>470</v>
      </c>
      <c r="C70" s="9" t="n">
        <f aca="false">-Drivers!C$109</f>
        <v>-8</v>
      </c>
      <c r="D70" s="9" t="n">
        <f aca="false">-Drivers!D$109</f>
        <v>-6</v>
      </c>
      <c r="E70" s="9" t="n">
        <f aca="false">-Drivers!E$109</f>
        <v>-6</v>
      </c>
      <c r="F70" s="9" t="n">
        <f aca="false">-Drivers!F$109</f>
        <v>-6</v>
      </c>
      <c r="G70" s="9" t="n">
        <f aca="false">-Drivers!G$109</f>
        <v>-6</v>
      </c>
    </row>
    <row r="71" customFormat="false" ht="15" hidden="false" customHeight="false" outlineLevel="0" collapsed="false">
      <c r="A71" s="8" t="s">
        <v>471</v>
      </c>
      <c r="C71" s="36" t="n">
        <f aca="false">B37+C65+SUM(C66:C70)</f>
        <v>185.164354393391</v>
      </c>
      <c r="D71" s="36" t="n">
        <f aca="false">C37+D65+SUM(D66:D70)</f>
        <v>351.705218415393</v>
      </c>
      <c r="E71" s="36" t="n">
        <f aca="false">D37+E65+SUM(E66:E70)</f>
        <v>359.188256342195</v>
      </c>
      <c r="F71" s="36" t="n">
        <f aca="false">E37+F65+SUM(F66:F70)</f>
        <v>363.851941716154</v>
      </c>
      <c r="G71" s="36" t="n">
        <f aca="false">F37+G65+SUM(G66:G70)</f>
        <v>355.052378856658</v>
      </c>
      <c r="H71" s="2" t="s">
        <v>472</v>
      </c>
    </row>
    <row r="72" customFormat="false" ht="15" hidden="false" customHeight="false" outlineLevel="0" collapsed="false">
      <c r="A72" s="8" t="s">
        <v>473</v>
      </c>
      <c r="C72" s="9" t="n">
        <f aca="false">-Debt!C36</f>
        <v>-9.5</v>
      </c>
      <c r="D72" s="9" t="n">
        <f aca="false">-Debt!D36</f>
        <v>-9.5</v>
      </c>
      <c r="E72" s="9" t="n">
        <f aca="false">-Debt!E36</f>
        <v>-9.5</v>
      </c>
      <c r="F72" s="9" t="n">
        <f aca="false">-Debt!F36</f>
        <v>-9.5</v>
      </c>
      <c r="G72" s="9" t="n">
        <f aca="false">-Debt!G36</f>
        <v>-0</v>
      </c>
    </row>
    <row r="73" customFormat="false" ht="15" hidden="false" customHeight="false" outlineLevel="0" collapsed="false">
      <c r="A73" s="8" t="s">
        <v>474</v>
      </c>
      <c r="C73" s="36" t="n">
        <f aca="false">-(Debt!C37+Debt!C42+Debt!C46)</f>
        <v>-0</v>
      </c>
      <c r="D73" s="36" t="n">
        <f aca="false">-(Debt!D37+Debt!D42+Debt!D46)</f>
        <v>-0</v>
      </c>
      <c r="E73" s="36" t="n">
        <f aca="false">-(Debt!E37+Debt!E42+Debt!E46)</f>
        <v>-0</v>
      </c>
      <c r="F73" s="36" t="n">
        <f aca="false">-(Debt!F37+Debt!F42+Debt!F46)</f>
        <v>-411.242170849022</v>
      </c>
      <c r="G73" s="36" t="n">
        <f aca="false">-(Debt!G37+Debt!G42+Debt!G46)</f>
        <v>-700</v>
      </c>
    </row>
    <row r="74" customFormat="false" ht="15" hidden="false" customHeight="false" outlineLevel="0" collapsed="false">
      <c r="A74" s="8" t="s">
        <v>475</v>
      </c>
      <c r="C74" s="9" t="n">
        <f aca="false">Debt!C50</f>
        <v>0</v>
      </c>
      <c r="D74" s="9" t="n">
        <f aca="false">Debt!D50</f>
        <v>0</v>
      </c>
      <c r="E74" s="9" t="n">
        <f aca="false">Debt!E50</f>
        <v>0</v>
      </c>
      <c r="F74" s="9" t="n">
        <f aca="false">Debt!F50</f>
        <v>411.242170849022</v>
      </c>
      <c r="G74" s="9" t="n">
        <f aca="false">Debt!G50</f>
        <v>700</v>
      </c>
    </row>
    <row r="75" customFormat="false" ht="15" hidden="false" customHeight="false" outlineLevel="0" collapsed="false">
      <c r="A75" s="8" t="s">
        <v>335</v>
      </c>
      <c r="C75" s="36" t="n">
        <f aca="false">Debt!C30-Debt!C31-Debt!C55</f>
        <v>24.3356456066094</v>
      </c>
      <c r="D75" s="36" t="n">
        <f aca="false">Debt!D30-Debt!D31-Debt!D55</f>
        <v>-24.3356456066094</v>
      </c>
      <c r="E75" s="36" t="n">
        <f aca="false">Debt!E30-Debt!E31-Debt!E55</f>
        <v>0</v>
      </c>
      <c r="F75" s="36" t="n">
        <f aca="false">Debt!F30-Debt!F31-Debt!F55</f>
        <v>0</v>
      </c>
      <c r="G75" s="36" t="n">
        <f aca="false">Debt!G30-Debt!G31-Debt!G55</f>
        <v>0</v>
      </c>
    </row>
    <row r="76" customFormat="false" ht="15" hidden="false" customHeight="false" outlineLevel="0" collapsed="false">
      <c r="A76" s="8" t="s">
        <v>476</v>
      </c>
      <c r="C76" s="36" t="n">
        <f aca="false">-(Debt!C38+Debt!C51)</f>
        <v>-0</v>
      </c>
      <c r="D76" s="36" t="n">
        <f aca="false">-(Debt!D38+Debt!D51)</f>
        <v>-117.869572808783</v>
      </c>
      <c r="E76" s="36" t="n">
        <f aca="false">-(Debt!E38+Debt!E51)</f>
        <v>-149.688256342195</v>
      </c>
      <c r="F76" s="36" t="n">
        <f aca="false">-(Debt!F38+Debt!F51)</f>
        <v>-154.351941716154</v>
      </c>
      <c r="G76" s="36" t="n">
        <f aca="false">-(Debt!G38+Debt!G51)</f>
        <v>-155.052378856658</v>
      </c>
    </row>
    <row r="77" customFormat="false" ht="15" hidden="false" customHeight="false" outlineLevel="0" collapsed="false">
      <c r="A77" s="37" t="s">
        <v>477</v>
      </c>
      <c r="B77" s="40"/>
      <c r="C77" s="38" t="n">
        <f aca="false">C65+SUM(C66:C70)+SUM(C72:C76)</f>
        <v>-28.6</v>
      </c>
      <c r="D77" s="38" t="n">
        <f aca="false">D65+SUM(D66:D70)+SUM(D72:D76)</f>
        <v>0</v>
      </c>
      <c r="E77" s="38" t="n">
        <f aca="false">E65+SUM(E66:E70)+SUM(E72:E76)</f>
        <v>0</v>
      </c>
      <c r="F77" s="38" t="n">
        <f aca="false">F65+SUM(F66:F70)+SUM(F72:F76)</f>
        <v>0</v>
      </c>
      <c r="G77" s="38" t="n">
        <f aca="false">G65+SUM(G66:G70)+SUM(G72:G76)</f>
        <v>0</v>
      </c>
    </row>
    <row r="78" customFormat="false" ht="15" hidden="false" customHeight="false" outlineLevel="0" collapsed="false">
      <c r="A78" s="8" t="s">
        <v>478</v>
      </c>
      <c r="C78" s="36" t="n">
        <f aca="false">B37</f>
        <v>228.6</v>
      </c>
      <c r="D78" s="36" t="n">
        <f aca="false">C37</f>
        <v>200</v>
      </c>
      <c r="E78" s="36" t="n">
        <f aca="false">D37</f>
        <v>200</v>
      </c>
      <c r="F78" s="36" t="n">
        <f aca="false">E37</f>
        <v>200</v>
      </c>
      <c r="G78" s="36" t="n">
        <f aca="false">F37</f>
        <v>200</v>
      </c>
    </row>
    <row r="79" customFormat="false" ht="15" hidden="false" customHeight="false" outlineLevel="0" collapsed="false">
      <c r="A79" s="37" t="s">
        <v>479</v>
      </c>
      <c r="B79" s="46" t="n">
        <f aca="false">Historicals!D44</f>
        <v>228.6</v>
      </c>
      <c r="C79" s="38" t="n">
        <f aca="false">C78+C77</f>
        <v>200</v>
      </c>
      <c r="D79" s="38" t="n">
        <f aca="false">D78+D77</f>
        <v>200</v>
      </c>
      <c r="E79" s="38" t="n">
        <f aca="false">E78+E77</f>
        <v>200</v>
      </c>
      <c r="F79" s="38" t="n">
        <f aca="false">F78+F77</f>
        <v>200</v>
      </c>
      <c r="G79" s="38" t="n">
        <f aca="false">G78+G77</f>
        <v>200</v>
      </c>
    </row>
    <row r="81" customFormat="false" ht="15" hidden="false" customHeight="false" outlineLevel="0" collapsed="false">
      <c r="A81" s="2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2"/>
    <col collapsed="false" customWidth="true" hidden="false" outlineLevel="0" max="8" min="8" style="0" width="13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481</v>
      </c>
    </row>
    <row r="2" customFormat="false" ht="15" hidden="false" customHeight="false" outlineLevel="0" collapsed="false">
      <c r="A2" s="2" t="s">
        <v>482</v>
      </c>
    </row>
    <row r="4" customFormat="false" ht="15" hidden="false" customHeight="false" outlineLevel="0" collapsed="false">
      <c r="A4" s="6" t="s">
        <v>483</v>
      </c>
      <c r="B4" s="7" t="s">
        <v>232</v>
      </c>
      <c r="C4" s="7" t="s">
        <v>103</v>
      </c>
      <c r="D4" s="7" t="s">
        <v>104</v>
      </c>
      <c r="E4" s="7" t="s">
        <v>105</v>
      </c>
      <c r="F4" s="7" t="s">
        <v>106</v>
      </c>
      <c r="G4" s="7" t="s">
        <v>107</v>
      </c>
      <c r="H4" s="7" t="s">
        <v>22</v>
      </c>
      <c r="I4" s="7" t="s">
        <v>26</v>
      </c>
    </row>
    <row r="5" customFormat="false" ht="15" hidden="false" customHeight="false" outlineLevel="0" collapsed="false">
      <c r="A5" s="24" t="s">
        <v>484</v>
      </c>
      <c r="B5" s="25"/>
      <c r="C5" s="25"/>
      <c r="D5" s="25"/>
      <c r="E5" s="25"/>
      <c r="F5" s="25"/>
      <c r="G5" s="25"/>
      <c r="H5" s="25"/>
      <c r="I5" s="25"/>
    </row>
    <row r="6" customFormat="false" ht="15" hidden="false" customHeight="false" outlineLevel="0" collapsed="false">
      <c r="A6" s="8" t="s">
        <v>485</v>
      </c>
      <c r="B6" s="9" t="n">
        <f aca="false">Model!B32</f>
        <v>348.2</v>
      </c>
      <c r="C6" s="9" t="n">
        <f aca="false">Model!C32</f>
        <v>298.1218774296</v>
      </c>
      <c r="D6" s="9" t="n">
        <f aca="false">Model!D32</f>
        <v>286.640991757701</v>
      </c>
      <c r="E6" s="9" t="n">
        <f aca="false">Model!E32</f>
        <v>284.335970589159</v>
      </c>
      <c r="F6" s="9" t="n">
        <f aca="false">Model!F32</f>
        <v>283.887901660646</v>
      </c>
      <c r="G6" s="9" t="n">
        <f aca="false">Model!G32</f>
        <v>279.002534175109</v>
      </c>
      <c r="H6" s="9" t="n">
        <f aca="false">Historicals!G24</f>
        <v>306</v>
      </c>
    </row>
    <row r="7" customFormat="false" ht="15" hidden="false" customHeight="false" outlineLevel="0" collapsed="false">
      <c r="A7" s="8" t="s">
        <v>486</v>
      </c>
      <c r="B7" s="9" t="n">
        <f aca="false">Model!B35</f>
        <v>379.8</v>
      </c>
      <c r="C7" s="9" t="n">
        <f aca="false">Model!C35</f>
        <v>318.6113535416</v>
      </c>
      <c r="D7" s="9" t="n">
        <f aca="false">Model!D35</f>
        <v>307.487609340079</v>
      </c>
      <c r="E7" s="9" t="n">
        <f aca="false">Model!E35</f>
        <v>305.01495026837</v>
      </c>
      <c r="F7" s="9" t="n">
        <f aca="false">Model!F35</f>
        <v>304.534294508693</v>
      </c>
      <c r="G7" s="9" t="n">
        <f aca="false">Model!G35</f>
        <v>299.66938855845</v>
      </c>
      <c r="H7" s="9" t="n">
        <f aca="false">Historicals!G26</f>
        <v>331.3</v>
      </c>
    </row>
    <row r="8" customFormat="false" ht="15" hidden="false" customHeight="false" outlineLevel="0" collapsed="false">
      <c r="A8" s="8" t="s">
        <v>487</v>
      </c>
      <c r="B8" s="9" t="n">
        <f aca="false">Debt!B59</f>
        <v>1416.8</v>
      </c>
      <c r="C8" s="36" t="n">
        <f aca="false">Debt!C59+MAX(0,-Model!C37)</f>
        <v>1431.63564560661</v>
      </c>
      <c r="D8" s="36" t="n">
        <f aca="false">Debt!D59+MAX(0,-Model!D37)</f>
        <v>1279.93042719122</v>
      </c>
      <c r="E8" s="36" t="n">
        <f aca="false">Debt!E59+MAX(0,-Model!E37)</f>
        <v>1120.74217084902</v>
      </c>
      <c r="F8" s="36" t="n">
        <f aca="false">Debt!F59+MAX(0,-Model!F37)</f>
        <v>956.890229132867</v>
      </c>
      <c r="G8" s="36" t="n">
        <f aca="false">Debt!G59+MAX(0,-Model!G37)</f>
        <v>801.837850276209</v>
      </c>
      <c r="H8" s="9" t="n">
        <f aca="false">Debt!C11</f>
        <v>1469.3</v>
      </c>
      <c r="I8" s="2" t="s">
        <v>488</v>
      </c>
    </row>
    <row r="9" customFormat="false" ht="15" hidden="false" customHeight="false" outlineLevel="0" collapsed="false">
      <c r="A9" s="8" t="s">
        <v>489</v>
      </c>
      <c r="B9" s="9" t="n">
        <f aca="false">Model!B37</f>
        <v>228.6</v>
      </c>
      <c r="C9" s="36" t="n">
        <f aca="false">MAX(0,Model!C37)</f>
        <v>200</v>
      </c>
      <c r="D9" s="36" t="n">
        <f aca="false">MAX(0,Model!D37)</f>
        <v>200</v>
      </c>
      <c r="E9" s="36" t="n">
        <f aca="false">MAX(0,Model!E37)</f>
        <v>200</v>
      </c>
      <c r="F9" s="36" t="n">
        <f aca="false">MAX(0,Model!F37)</f>
        <v>200</v>
      </c>
      <c r="G9" s="36" t="n">
        <f aca="false">MAX(0,Model!G37)</f>
        <v>200</v>
      </c>
      <c r="H9" s="9" t="n">
        <f aca="false">Historicals!F44</f>
        <v>218.2</v>
      </c>
    </row>
    <row r="10" customFormat="false" ht="15" hidden="false" customHeight="false" outlineLevel="0" collapsed="false">
      <c r="A10" s="3" t="s">
        <v>490</v>
      </c>
      <c r="B10" s="27" t="n">
        <f aca="false">B8-B9</f>
        <v>1188.2</v>
      </c>
      <c r="C10" s="27" t="n">
        <f aca="false">C8-C9</f>
        <v>1231.63564560661</v>
      </c>
      <c r="D10" s="27" t="n">
        <f aca="false">D8-D9</f>
        <v>1079.93042719122</v>
      </c>
      <c r="E10" s="27" t="n">
        <f aca="false">E8-E9</f>
        <v>920.742170849022</v>
      </c>
      <c r="F10" s="27" t="n">
        <f aca="false">F8-F9</f>
        <v>756.890229132867</v>
      </c>
      <c r="G10" s="27" t="n">
        <f aca="false">G8-G9</f>
        <v>601.837850276209</v>
      </c>
      <c r="H10" s="27" t="n">
        <f aca="false">H8-H9</f>
        <v>1251.1</v>
      </c>
    </row>
    <row r="11" customFormat="false" ht="15" hidden="false" customHeight="false" outlineLevel="0" collapsed="false">
      <c r="A11" s="8" t="s">
        <v>491</v>
      </c>
      <c r="B11" s="9" t="n">
        <f aca="false">Historicals!D14</f>
        <v>107.3</v>
      </c>
      <c r="C11" s="9" t="n">
        <f aca="false">Debt!C73</f>
        <v>90.551</v>
      </c>
      <c r="D11" s="9" t="n">
        <f aca="false">Debt!D73</f>
        <v>86.5176008758313</v>
      </c>
      <c r="E11" s="9" t="n">
        <f aca="false">Debt!E73</f>
        <v>75.5331516994511</v>
      </c>
      <c r="F11" s="9" t="n">
        <f aca="false">Debt!F73</f>
        <v>65.5838856780639</v>
      </c>
      <c r="G11" s="9" t="n">
        <f aca="false">Debt!G73</f>
        <v>62.4076206219581</v>
      </c>
      <c r="H11" s="9" t="n">
        <f aca="false">Historicals!G14</f>
        <v>96.7</v>
      </c>
    </row>
    <row r="12" customFormat="false" ht="15" hidden="false" customHeight="false" outlineLevel="0" collapsed="false">
      <c r="A12" s="8" t="s">
        <v>492</v>
      </c>
      <c r="B12" s="9" t="n">
        <f aca="false">Model!B64</f>
        <v>9.3</v>
      </c>
      <c r="C12" s="9" t="n">
        <f aca="false">Model!C64</f>
        <v>5.122369028</v>
      </c>
      <c r="D12" s="9" t="n">
        <f aca="false">Model!D64</f>
        <v>20.8466175823782</v>
      </c>
      <c r="E12" s="9" t="n">
        <f aca="false">Model!E64</f>
        <v>25.8487245990144</v>
      </c>
      <c r="F12" s="9" t="n">
        <f aca="false">Model!F64</f>
        <v>25.8079910600587</v>
      </c>
      <c r="G12" s="9" t="n">
        <f aca="false">Model!G64</f>
        <v>25.8335679791768</v>
      </c>
      <c r="H12" s="9" t="n">
        <f aca="false">Historicals!G70</f>
        <v>9.5</v>
      </c>
    </row>
    <row r="13" customFormat="false" ht="15" hidden="false" customHeight="false" outlineLevel="0" collapsed="false">
      <c r="A13" s="8" t="s">
        <v>493</v>
      </c>
      <c r="B13" s="9" t="n">
        <f aca="false">Model!B65</f>
        <v>182.4</v>
      </c>
      <c r="C13" s="9" t="n">
        <f aca="false">Model!C65</f>
        <v>110.564354393391</v>
      </c>
      <c r="D13" s="9" t="n">
        <f aca="false">Model!D65</f>
        <v>160.005218415393</v>
      </c>
      <c r="E13" s="9" t="n">
        <f aca="false">Model!E65</f>
        <v>167.488256342195</v>
      </c>
      <c r="F13" s="9" t="n">
        <f aca="false">Model!F65</f>
        <v>172.151941716154</v>
      </c>
      <c r="G13" s="9" t="n">
        <f aca="false">Model!G65</f>
        <v>163.352378856658</v>
      </c>
      <c r="H13" s="9" t="n">
        <f aca="false">Historicals!G71</f>
        <v>164.6</v>
      </c>
    </row>
    <row r="14" customFormat="false" ht="15" hidden="false" customHeight="false" outlineLevel="0" collapsed="false">
      <c r="A14" s="8" t="s">
        <v>494</v>
      </c>
      <c r="B14" s="9" t="n">
        <f aca="false">Debt!B57</f>
        <v>500</v>
      </c>
      <c r="C14" s="9" t="n">
        <f aca="false">Debt!C57</f>
        <v>285.664354393391</v>
      </c>
      <c r="D14" s="9" t="n">
        <f aca="false">Debt!D57</f>
        <v>210</v>
      </c>
      <c r="E14" s="9" t="n">
        <f aca="false">Debt!E57</f>
        <v>210</v>
      </c>
      <c r="F14" s="9" t="n">
        <f aca="false">Debt!F57</f>
        <v>210</v>
      </c>
      <c r="G14" s="9" t="n">
        <f aca="false">Debt!G57</f>
        <v>210</v>
      </c>
      <c r="H14" s="36" t="n">
        <f aca="false">Debt!I11-Debt!C10</f>
        <v>180.1</v>
      </c>
      <c r="I14" s="2" t="s">
        <v>495</v>
      </c>
    </row>
    <row r="15" customFormat="false" ht="15" hidden="false" customHeight="false" outlineLevel="0" collapsed="false">
      <c r="A15" s="24" t="s">
        <v>496</v>
      </c>
      <c r="B15" s="25"/>
      <c r="C15" s="25"/>
      <c r="D15" s="25"/>
      <c r="E15" s="25"/>
      <c r="F15" s="25"/>
      <c r="G15" s="25"/>
      <c r="H15" s="25"/>
      <c r="I15" s="25"/>
    </row>
    <row r="16" customFormat="false" ht="15" hidden="false" customHeight="false" outlineLevel="0" collapsed="false">
      <c r="A16" s="8" t="s">
        <v>497</v>
      </c>
      <c r="B16" s="47" t="n">
        <f aca="false">IFERROR(B8/B6,0)</f>
        <v>4.0689259046525</v>
      </c>
      <c r="C16" s="47" t="n">
        <f aca="false">IFERROR(C8/C6,0)</f>
        <v>4.8021824427987</v>
      </c>
      <c r="D16" s="47" t="n">
        <f aca="false">IFERROR(D8/D6,0)</f>
        <v>4.46527350935608</v>
      </c>
      <c r="E16" s="47" t="n">
        <f aca="false">IFERROR(E8/E6,0)</f>
        <v>3.94161234164916</v>
      </c>
      <c r="F16" s="47" t="n">
        <f aca="false">IFERROR(F8/F6,0)</f>
        <v>3.37066223511249</v>
      </c>
      <c r="G16" s="47" t="n">
        <f aca="false">IFERROR(G8/G6,0)</f>
        <v>2.87394468529435</v>
      </c>
      <c r="H16" s="47" t="n">
        <f aca="false">IFERROR(H8/H6,0)</f>
        <v>4.8016339869281</v>
      </c>
    </row>
    <row r="17" customFormat="false" ht="15" hidden="false" customHeight="false" outlineLevel="0" collapsed="false">
      <c r="A17" s="3" t="s">
        <v>498</v>
      </c>
      <c r="B17" s="48" t="n">
        <f aca="false">IFERROR(B10/B6,0)</f>
        <v>3.41240666283745</v>
      </c>
      <c r="C17" s="48" t="n">
        <f aca="false">IFERROR(C10/C6,0)</f>
        <v>4.13131587733763</v>
      </c>
      <c r="D17" s="48" t="n">
        <f aca="false">IFERROR(D10/D6,0)</f>
        <v>3.76753659889681</v>
      </c>
      <c r="E17" s="48" t="n">
        <f aca="false">IFERROR(E10/E6,0)</f>
        <v>3.23821910024678</v>
      </c>
      <c r="F17" s="48" t="n">
        <f aca="false">IFERROR(F10/F6,0)</f>
        <v>2.66615880671674</v>
      </c>
      <c r="G17" s="48" t="n">
        <f aca="false">IFERROR(G10/G6,0)</f>
        <v>2.15710531825664</v>
      </c>
      <c r="H17" s="48" t="n">
        <f aca="false">IFERROR(H10/H6,0)</f>
        <v>4.08856209150327</v>
      </c>
    </row>
    <row r="18" customFormat="false" ht="15" hidden="false" customHeight="false" outlineLevel="0" collapsed="false">
      <c r="A18" s="8" t="s">
        <v>499</v>
      </c>
      <c r="B18" s="47" t="n">
        <f aca="false">B17</f>
        <v>3.41240666283745</v>
      </c>
      <c r="C18" s="47" t="n">
        <f aca="false">C17</f>
        <v>4.13131587733763</v>
      </c>
      <c r="D18" s="47" t="n">
        <f aca="false">D17</f>
        <v>3.76753659889681</v>
      </c>
      <c r="E18" s="47" t="n">
        <f aca="false">E17</f>
        <v>3.23821910024678</v>
      </c>
      <c r="F18" s="47" t="n">
        <f aca="false">F17</f>
        <v>2.66615880671674</v>
      </c>
      <c r="G18" s="47" t="n">
        <f aca="false">G17</f>
        <v>2.15710531825664</v>
      </c>
      <c r="H18" s="47" t="n">
        <f aca="false">H17</f>
        <v>4.08856209150327</v>
      </c>
      <c r="I18" s="2" t="s">
        <v>500</v>
      </c>
    </row>
    <row r="19" customFormat="false" ht="15" hidden="false" customHeight="false" outlineLevel="0" collapsed="false">
      <c r="A19" s="8" t="s">
        <v>501</v>
      </c>
      <c r="B19" s="47" t="n">
        <f aca="false">IFERROR(B10/B7,0)</f>
        <v>3.12848867825171</v>
      </c>
      <c r="C19" s="47" t="n">
        <f aca="false">IFERROR(C10/C7,0)</f>
        <v>3.86563639969534</v>
      </c>
      <c r="D19" s="47" t="n">
        <f aca="false">IFERROR(D10/D7,0)</f>
        <v>3.51211038880211</v>
      </c>
      <c r="E19" s="47" t="n">
        <f aca="false">IFERROR(E10/E7,0)</f>
        <v>3.01867882226395</v>
      </c>
      <c r="F19" s="47" t="n">
        <f aca="false">IFERROR(F10/F7,0)</f>
        <v>2.48540227744781</v>
      </c>
      <c r="G19" s="47" t="n">
        <f aca="false">IFERROR(G10/G7,0)</f>
        <v>2.00833943423895</v>
      </c>
      <c r="H19" s="47" t="n">
        <f aca="false">IFERROR(H10/H7,0)</f>
        <v>3.77633564744944</v>
      </c>
      <c r="I19" s="2" t="s">
        <v>502</v>
      </c>
    </row>
    <row r="20" customFormat="false" ht="15" hidden="false" customHeight="false" outlineLevel="0" collapsed="false">
      <c r="A20" s="8" t="s">
        <v>503</v>
      </c>
      <c r="C20" s="10" t="n">
        <f aca="false">Drivers!C$149</f>
        <v>4.75</v>
      </c>
      <c r="D20" s="10" t="n">
        <f aca="false">Drivers!D$149</f>
        <v>4.75</v>
      </c>
      <c r="E20" s="10" t="n">
        <f aca="false">Drivers!E$149</f>
        <v>4.75</v>
      </c>
      <c r="F20" s="10" t="n">
        <f aca="false">Drivers!F$149</f>
        <v>4.75</v>
      </c>
      <c r="G20" s="10" t="n">
        <f aca="false">Drivers!G$149</f>
        <v>4.75</v>
      </c>
    </row>
    <row r="21" customFormat="false" ht="15" hidden="false" customHeight="false" outlineLevel="0" collapsed="false">
      <c r="A21" s="8" t="s">
        <v>504</v>
      </c>
      <c r="C21" s="39" t="n">
        <f aca="false">IFERROR(1-(C10/C20)/C7,0)</f>
        <v>0.186181810590455</v>
      </c>
      <c r="D21" s="39" t="n">
        <f aca="false">IFERROR(1-(D10/D20)/D7,0)</f>
        <v>0.260608339199556</v>
      </c>
      <c r="E21" s="39" t="n">
        <f aca="false">IFERROR(1-(E10/E20)/E7,0)</f>
        <v>0.364488668997063</v>
      </c>
      <c r="F21" s="39" t="n">
        <f aca="false">IFERROR(1-(F10/F20)/F7,0)</f>
        <v>0.476757415274146</v>
      </c>
      <c r="G21" s="39" t="n">
        <f aca="false">IFERROR(1-(G10/G20)/G7,0)</f>
        <v>0.577191698054959</v>
      </c>
      <c r="I21" s="2" t="s">
        <v>505</v>
      </c>
    </row>
    <row r="22" customFormat="false" ht="15" hidden="false" customHeight="false" outlineLevel="0" collapsed="false">
      <c r="A22" s="8" t="s">
        <v>506</v>
      </c>
      <c r="C22" s="36" t="n">
        <f aca="false">C10/C20</f>
        <v>259.291714864549</v>
      </c>
      <c r="D22" s="36" t="n">
        <f aca="false">D10/D20</f>
        <v>227.353774145519</v>
      </c>
      <c r="E22" s="36" t="n">
        <f aca="false">E10/E20</f>
        <v>193.840457020847</v>
      </c>
      <c r="F22" s="36" t="n">
        <f aca="false">F10/F20</f>
        <v>159.345311396393</v>
      </c>
      <c r="G22" s="36" t="n">
        <f aca="false">G10/G20</f>
        <v>126.702705321307</v>
      </c>
    </row>
    <row r="23" customFormat="false" ht="15" hidden="false" customHeight="false" outlineLevel="0" collapsed="false">
      <c r="A23" s="24" t="s">
        <v>507</v>
      </c>
      <c r="B23" s="25"/>
      <c r="C23" s="25"/>
      <c r="D23" s="25"/>
      <c r="E23" s="25"/>
      <c r="F23" s="25"/>
      <c r="G23" s="25"/>
      <c r="H23" s="25"/>
      <c r="I23" s="25"/>
    </row>
    <row r="24" customFormat="false" ht="15" hidden="false" customHeight="false" outlineLevel="0" collapsed="false">
      <c r="A24" s="3" t="s">
        <v>508</v>
      </c>
      <c r="B24" s="48" t="n">
        <f aca="false">IFERROR(B6/B11,0)</f>
        <v>3.24510717614166</v>
      </c>
      <c r="C24" s="48" t="n">
        <f aca="false">IFERROR(C6/C11,0)</f>
        <v>3.29230905710152</v>
      </c>
      <c r="D24" s="48" t="n">
        <f aca="false">IFERROR(D6/D11,0)</f>
        <v>3.31309454788377</v>
      </c>
      <c r="E24" s="48" t="n">
        <f aca="false">IFERROR(E6/E11,0)</f>
        <v>3.7643864209525</v>
      </c>
      <c r="F24" s="48" t="n">
        <f aca="false">IFERROR(F6/F11,0)</f>
        <v>4.3286227817331</v>
      </c>
      <c r="G24" s="48" t="n">
        <f aca="false">IFERROR(G6/G11,0)</f>
        <v>4.47064847841583</v>
      </c>
      <c r="H24" s="48" t="n">
        <f aca="false">IFERROR(H6/H11,0)</f>
        <v>3.16442605997932</v>
      </c>
    </row>
    <row r="25" customFormat="false" ht="15" hidden="false" customHeight="false" outlineLevel="0" collapsed="false">
      <c r="A25" s="8" t="s">
        <v>509</v>
      </c>
      <c r="B25" s="47" t="n">
        <f aca="false">IFERROR((B6-B12)/B11,0)</f>
        <v>3.15843429636533</v>
      </c>
      <c r="C25" s="47" t="n">
        <f aca="false">IFERROR((C6-C12)/C11,0)</f>
        <v>3.23574017295888</v>
      </c>
      <c r="D25" s="47" t="n">
        <f aca="false">IFERROR((D6-D12)/D11,0)</f>
        <v>3.07214221712859</v>
      </c>
      <c r="E25" s="47" t="n">
        <f aca="false">IFERROR((E6-E12)/E11,0)</f>
        <v>3.42216947359318</v>
      </c>
      <c r="F25" s="47" t="n">
        <f aca="false">IFERROR((F6-F12)/F11,0)</f>
        <v>3.93511161975736</v>
      </c>
      <c r="G25" s="47" t="n">
        <f aca="false">IFERROR((G6-G12)/G11,0)</f>
        <v>4.05669954522918</v>
      </c>
      <c r="H25" s="47" t="n">
        <f aca="false">IFERROR((H6-H12)/H11,0)</f>
        <v>3.06618407445709</v>
      </c>
    </row>
    <row r="26" customFormat="false" ht="15" hidden="false" customHeight="false" outlineLevel="0" collapsed="false">
      <c r="A26" s="8" t="s">
        <v>510</v>
      </c>
      <c r="B26" s="39" t="n">
        <f aca="false">IFERROR(B13/B8,0)</f>
        <v>0.128740824392998</v>
      </c>
      <c r="C26" s="39" t="n">
        <f aca="false">IFERROR(C13/C8,0)</f>
        <v>0.0772293947364956</v>
      </c>
      <c r="D26" s="39" t="n">
        <f aca="false">IFERROR(D13/D8,0)</f>
        <v>0.125010871697551</v>
      </c>
      <c r="E26" s="39" t="n">
        <f aca="false">IFERROR(E13/E8,0)</f>
        <v>0.149444056535603</v>
      </c>
      <c r="F26" s="39" t="n">
        <f aca="false">IFERROR(F13/F8,0)</f>
        <v>0.179907722406319</v>
      </c>
      <c r="G26" s="39" t="n">
        <f aca="false">IFERROR(G13/G8,0)</f>
        <v>0.203722459348094</v>
      </c>
      <c r="H26" s="39" t="n">
        <f aca="false">IFERROR(H13/H8,0)</f>
        <v>0.112026134894167</v>
      </c>
    </row>
    <row r="27" customFormat="false" ht="15" hidden="false" customHeight="false" outlineLevel="0" collapsed="false">
      <c r="A27" s="8" t="s">
        <v>511</v>
      </c>
      <c r="C27" s="36" t="n">
        <f aca="false">Debt!$B$59-C8</f>
        <v>-14.8356456066094</v>
      </c>
      <c r="D27" s="36" t="n">
        <f aca="false">Debt!$B$59-D8</f>
        <v>136.869572808783</v>
      </c>
      <c r="E27" s="36" t="n">
        <f aca="false">Debt!$B$59-E8</f>
        <v>296.057829150978</v>
      </c>
      <c r="F27" s="36" t="n">
        <f aca="false">Debt!$B$59-F8</f>
        <v>459.909770867133</v>
      </c>
      <c r="G27" s="36" t="n">
        <f aca="false">Debt!$B$59-G8</f>
        <v>614.962149723791</v>
      </c>
    </row>
    <row r="28" customFormat="false" ht="15" hidden="false" customHeight="false" outlineLevel="0" collapsed="false">
      <c r="A28" s="24" t="s">
        <v>512</v>
      </c>
      <c r="B28" s="25"/>
      <c r="C28" s="25"/>
      <c r="D28" s="25"/>
      <c r="E28" s="25"/>
      <c r="F28" s="25"/>
      <c r="G28" s="25"/>
      <c r="H28" s="25"/>
      <c r="I28" s="25"/>
    </row>
    <row r="29" customFormat="false" ht="15" hidden="false" customHeight="false" outlineLevel="0" collapsed="false">
      <c r="A29" s="3" t="s">
        <v>513</v>
      </c>
      <c r="B29" s="27" t="n">
        <f aca="false">B9+B14</f>
        <v>728.6</v>
      </c>
      <c r="C29" s="27" t="n">
        <f aca="false">C9+C14</f>
        <v>485.664354393391</v>
      </c>
      <c r="D29" s="27" t="n">
        <f aca="false">D9+D14</f>
        <v>410</v>
      </c>
      <c r="E29" s="27" t="n">
        <f aca="false">E9+E14</f>
        <v>410</v>
      </c>
      <c r="F29" s="27" t="n">
        <f aca="false">F9+F14</f>
        <v>410</v>
      </c>
      <c r="G29" s="27" t="n">
        <f aca="false">G9+G14</f>
        <v>410</v>
      </c>
      <c r="H29" s="27" t="n">
        <f aca="false">H9+H14</f>
        <v>398.3</v>
      </c>
    </row>
    <row r="30" customFormat="false" ht="15" hidden="false" customHeight="false" outlineLevel="0" collapsed="false">
      <c r="A30" s="8" t="s">
        <v>514</v>
      </c>
      <c r="C30" s="36" t="n">
        <f aca="false">Debt!C36+Debt!C37+Debt!C42+Debt!C46+Debt!C55</f>
        <v>9.5</v>
      </c>
      <c r="D30" s="36" t="n">
        <f aca="false">Debt!D36+Debt!D37+Debt!D42+Debt!D46+Debt!D55</f>
        <v>9.5</v>
      </c>
      <c r="E30" s="36" t="n">
        <f aca="false">Debt!E36+Debt!E37+Debt!E42+Debt!E46+Debt!E55</f>
        <v>9.5</v>
      </c>
      <c r="F30" s="36" t="n">
        <f aca="false">Debt!F36+Debt!F37+Debt!F42+Debt!F46+Debt!F55</f>
        <v>420.742170849022</v>
      </c>
      <c r="G30" s="36" t="n">
        <f aca="false">Debt!G36+Debt!G37+Debt!G42+Debt!G46+Debt!G55</f>
        <v>700</v>
      </c>
    </row>
    <row r="31" customFormat="false" ht="15" hidden="false" customHeight="false" outlineLevel="0" collapsed="false">
      <c r="A31" s="8" t="s">
        <v>515</v>
      </c>
      <c r="C31" s="36" t="n">
        <f aca="false">SUM(D30:E30)</f>
        <v>19</v>
      </c>
      <c r="D31" s="36" t="n">
        <f aca="false">SUM(E30:F30)</f>
        <v>430.242170849022</v>
      </c>
      <c r="E31" s="36" t="n">
        <f aca="false">SUM(F30:G30)</f>
        <v>1120.74217084902</v>
      </c>
      <c r="F31" s="36" t="n">
        <f aca="false">G30</f>
        <v>700</v>
      </c>
      <c r="G31" s="36" t="n">
        <f aca="false">0</f>
        <v>0</v>
      </c>
      <c r="I31" s="2" t="s">
        <v>516</v>
      </c>
    </row>
    <row r="32" customFormat="false" ht="15" hidden="false" customHeight="false" outlineLevel="0" collapsed="false">
      <c r="A32" s="8" t="s">
        <v>517</v>
      </c>
      <c r="C32" s="47" t="n">
        <f aca="false">IFERROR(C29/C31,0)</f>
        <v>25.5612818101785</v>
      </c>
      <c r="D32" s="47" t="n">
        <f aca="false">IFERROR(D29/D31,0)</f>
        <v>0.952951681121642</v>
      </c>
      <c r="E32" s="47" t="n">
        <f aca="false">IFERROR(E29/E31,0)</f>
        <v>0.365829011046674</v>
      </c>
      <c r="F32" s="47" t="n">
        <f aca="false">IFERROR(F29/F31,0)</f>
        <v>0.585714285714286</v>
      </c>
      <c r="G32" s="47" t="n">
        <f aca="false">IFERROR(G29/G31,0)</f>
        <v>0</v>
      </c>
    </row>
    <row r="33" customFormat="false" ht="15" hidden="false" customHeight="false" outlineLevel="0" collapsed="false">
      <c r="A33" s="3" t="s">
        <v>518</v>
      </c>
      <c r="C33" s="49" t="n">
        <f aca="false">Debt!C33</f>
        <v>-0</v>
      </c>
      <c r="D33" s="49" t="n">
        <f aca="false">Debt!D33</f>
        <v>0</v>
      </c>
      <c r="E33" s="49" t="n">
        <f aca="false">Debt!E33</f>
        <v>0</v>
      </c>
      <c r="F33" s="49" t="n">
        <f aca="false">Debt!F33</f>
        <v>0</v>
      </c>
      <c r="G33" s="49" t="n">
        <f aca="false">Debt!G33</f>
        <v>0</v>
      </c>
    </row>
    <row r="34" customFormat="false" ht="15" hidden="false" customHeight="false" outlineLevel="0" collapsed="false">
      <c r="A34" s="24" t="s">
        <v>519</v>
      </c>
      <c r="B34" s="25"/>
      <c r="C34" s="25"/>
      <c r="D34" s="25"/>
      <c r="E34" s="25"/>
      <c r="F34" s="25"/>
      <c r="G34" s="25"/>
      <c r="H34" s="25"/>
      <c r="I34" s="25"/>
    </row>
    <row r="35" customFormat="false" ht="15" hidden="false" customHeight="false" outlineLevel="0" collapsed="false">
      <c r="A35" s="8" t="s">
        <v>520</v>
      </c>
      <c r="C35" s="36" t="n">
        <f aca="false">C6*Drivers!C$154</f>
        <v>1788.7312645776</v>
      </c>
      <c r="D35" s="36" t="n">
        <f aca="false">D6*Drivers!D$154</f>
        <v>1719.84595054621</v>
      </c>
      <c r="E35" s="36" t="n">
        <f aca="false">E6*Drivers!E$154</f>
        <v>1706.01582353495</v>
      </c>
      <c r="F35" s="36" t="n">
        <f aca="false">F6*Drivers!F$154</f>
        <v>1703.32740996388</v>
      </c>
      <c r="G35" s="36" t="n">
        <f aca="false">G6*Drivers!G$154</f>
        <v>1674.01520505065</v>
      </c>
    </row>
    <row r="36" customFormat="false" ht="15" hidden="false" customHeight="false" outlineLevel="0" collapsed="false">
      <c r="A36" s="8" t="s">
        <v>521</v>
      </c>
      <c r="C36" s="39" t="n">
        <f aca="false">IFERROR(MIN(1,C35/C10),0)</f>
        <v>1</v>
      </c>
      <c r="D36" s="39" t="n">
        <f aca="false">IFERROR(MIN(1,D35/D10),0)</f>
        <v>1</v>
      </c>
      <c r="E36" s="39" t="n">
        <f aca="false">IFERROR(MIN(1,E35/E10),0)</f>
        <v>1</v>
      </c>
      <c r="F36" s="39" t="n">
        <f aca="false">IFERROR(MIN(1,F35/F10),0)</f>
        <v>1</v>
      </c>
      <c r="G36" s="39" t="n">
        <f aca="false">IFERROR(MIN(1,G35/G10),0)</f>
        <v>1</v>
      </c>
      <c r="I36" s="2" t="s">
        <v>522</v>
      </c>
    </row>
    <row r="37" customFormat="false" ht="15" hidden="false" customHeight="false" outlineLevel="0" collapsed="false">
      <c r="A37" s="3" t="s">
        <v>523</v>
      </c>
      <c r="C37" s="3" t="str">
        <f aca="false">IF(Model!C37&lt;0,"DEFAULT",IF(C19&gt;C20,"COVENANT BREACH","OK"))</f>
        <v>OK</v>
      </c>
      <c r="D37" s="3" t="str">
        <f aca="false">IF(Model!D37&lt;0,"DEFAULT",IF(D19&gt;D20,"COVENANT BREACH","OK"))</f>
        <v>OK</v>
      </c>
      <c r="E37" s="3" t="str">
        <f aca="false">IF(Model!E37&lt;0,"DEFAULT",IF(E19&gt;E20,"COVENANT BREACH","OK"))</f>
        <v>OK</v>
      </c>
      <c r="F37" s="3" t="str">
        <f aca="false">IF(Model!F37&lt;0,"DEFAULT",IF(F19&gt;F20,"COVENANT BREACH","OK"))</f>
        <v>OK</v>
      </c>
      <c r="G37" s="3" t="str">
        <f aca="false">IF(Model!G37&lt;0,"DEFAULT",IF(G19&gt;G20,"COVENANT BREACH","OK"))</f>
        <v>OK</v>
      </c>
    </row>
    <row r="39" customFormat="false" ht="15" hidden="false" customHeight="false" outlineLevel="0" collapsed="false">
      <c r="A39" s="24" t="s">
        <v>524</v>
      </c>
      <c r="B39" s="25"/>
      <c r="C39" s="25"/>
      <c r="D39" s="25"/>
      <c r="E39" s="25"/>
      <c r="F39" s="25"/>
      <c r="G39" s="25"/>
      <c r="H39" s="25"/>
      <c r="I39" s="25"/>
    </row>
    <row r="40" customFormat="false" ht="15" hidden="false" customHeight="false" outlineLevel="0" collapsed="false">
      <c r="A40" s="8" t="s">
        <v>78</v>
      </c>
      <c r="B40" s="49" t="n">
        <f aca="false">Model!D10</f>
        <v>1042.33087911891</v>
      </c>
    </row>
    <row r="41" customFormat="false" ht="15" hidden="false" customHeight="false" outlineLevel="0" collapsed="false">
      <c r="A41" s="8" t="s">
        <v>79</v>
      </c>
      <c r="B41" s="49" t="n">
        <f aca="false">Model!G10</f>
        <v>1033.34271916707</v>
      </c>
    </row>
    <row r="42" customFormat="false" ht="15" hidden="false" customHeight="false" outlineLevel="0" collapsed="false">
      <c r="A42" s="8" t="s">
        <v>80</v>
      </c>
      <c r="B42" s="27" t="n">
        <f aca="false">MIN(C6:G6)</f>
        <v>279.002534175109</v>
      </c>
    </row>
    <row r="43" customFormat="false" ht="15" hidden="false" customHeight="false" outlineLevel="0" collapsed="false">
      <c r="A43" s="8" t="s">
        <v>81</v>
      </c>
      <c r="B43" s="27" t="n">
        <f aca="false">G6</f>
        <v>279.002534175109</v>
      </c>
    </row>
    <row r="44" customFormat="false" ht="15" hidden="false" customHeight="false" outlineLevel="0" collapsed="false">
      <c r="A44" s="8" t="s">
        <v>82</v>
      </c>
      <c r="B44" s="48" t="n">
        <f aca="false">E17</f>
        <v>3.23821910024678</v>
      </c>
    </row>
    <row r="45" customFormat="false" ht="15" hidden="false" customHeight="false" outlineLevel="0" collapsed="false">
      <c r="A45" s="8" t="s">
        <v>83</v>
      </c>
      <c r="B45" s="48" t="n">
        <f aca="false">MAX(C17:G17)</f>
        <v>4.13131587733763</v>
      </c>
    </row>
    <row r="46" customFormat="false" ht="15" hidden="false" customHeight="false" outlineLevel="0" collapsed="false">
      <c r="A46" s="8" t="s">
        <v>84</v>
      </c>
      <c r="B46" s="48" t="n">
        <f aca="false">MAX(C19:G19)</f>
        <v>3.86563639969534</v>
      </c>
    </row>
    <row r="47" customFormat="false" ht="15" hidden="false" customHeight="false" outlineLevel="0" collapsed="false">
      <c r="A47" s="8" t="s">
        <v>85</v>
      </c>
      <c r="B47" s="48" t="n">
        <f aca="false">MIN(C24:G24)</f>
        <v>3.29230905710152</v>
      </c>
    </row>
    <row r="48" customFormat="false" ht="15" hidden="false" customHeight="false" outlineLevel="0" collapsed="false">
      <c r="A48" s="8" t="s">
        <v>86</v>
      </c>
      <c r="B48" s="48" t="n">
        <f aca="false">MIN(C25:G25)</f>
        <v>3.07214221712859</v>
      </c>
    </row>
    <row r="49" customFormat="false" ht="15" hidden="false" customHeight="false" outlineLevel="0" collapsed="false">
      <c r="A49" s="8" t="s">
        <v>36</v>
      </c>
      <c r="B49" s="27" t="n">
        <f aca="false">SUM(C13:G13)</f>
        <v>773.562149723791</v>
      </c>
    </row>
    <row r="50" customFormat="false" ht="15" hidden="false" customHeight="false" outlineLevel="0" collapsed="false">
      <c r="A50" s="8" t="s">
        <v>37</v>
      </c>
      <c r="B50" s="27" t="n">
        <f aca="false">G8</f>
        <v>801.837850276209</v>
      </c>
    </row>
    <row r="51" customFormat="false" ht="15" hidden="false" customHeight="false" outlineLevel="0" collapsed="false">
      <c r="A51" s="8" t="s">
        <v>87</v>
      </c>
      <c r="B51" s="27" t="n">
        <f aca="false">MIN(C29:G29)</f>
        <v>410</v>
      </c>
    </row>
    <row r="52" customFormat="false" ht="15" hidden="false" customHeight="false" outlineLevel="0" collapsed="false">
      <c r="A52" s="8" t="s">
        <v>39</v>
      </c>
      <c r="B52" s="27" t="n">
        <f aca="false">MAX(C33:G33)</f>
        <v>-0</v>
      </c>
    </row>
    <row r="53" customFormat="false" ht="15" hidden="false" customHeight="false" outlineLevel="0" collapsed="false">
      <c r="A53" s="8" t="s">
        <v>41</v>
      </c>
      <c r="B53" s="26" t="n">
        <f aca="false">MIN(C36:G36)</f>
        <v>1</v>
      </c>
    </row>
    <row r="54" customFormat="false" ht="15" hidden="false" customHeight="false" outlineLevel="0" collapsed="false">
      <c r="A54" s="8" t="s">
        <v>88</v>
      </c>
      <c r="B54" s="3" t="str">
        <f aca="false">IF(C37&lt;&gt;"OK","FY26E "&amp;C37,IF(D37&lt;&gt;"OK","FY27E "&amp;D37,IF(E37&lt;&gt;"OK","FY28E "&amp;E37,IF(F37&lt;&gt;"OK","FY29E "&amp;F37,IF(G37&lt;&gt;"OK","FY30E "&amp;G37,"None")))))</f>
        <v>None</v>
      </c>
    </row>
    <row r="56" customFormat="false" ht="15" hidden="false" customHeight="false" outlineLevel="0" collapsed="false">
      <c r="A56" s="24" t="s">
        <v>525</v>
      </c>
      <c r="B56" s="25"/>
      <c r="C56" s="25"/>
      <c r="D56" s="25"/>
      <c r="E56" s="25"/>
      <c r="F56" s="25"/>
      <c r="G56" s="25"/>
      <c r="H56" s="25"/>
      <c r="I56" s="25"/>
    </row>
    <row r="57" customFormat="false" ht="15" hidden="false" customHeight="false" outlineLevel="0" collapsed="false">
      <c r="A57" s="8" t="s">
        <v>526</v>
      </c>
      <c r="B57" s="29" t="n">
        <v>81</v>
      </c>
      <c r="C57" s="2" t="s">
        <v>527</v>
      </c>
    </row>
    <row r="58" customFormat="false" ht="15" hidden="false" customHeight="false" outlineLevel="0" collapsed="false">
      <c r="A58" s="8" t="s">
        <v>528</v>
      </c>
      <c r="B58" s="50" t="n">
        <v>46318</v>
      </c>
    </row>
    <row r="59" customFormat="false" ht="15" hidden="false" customHeight="false" outlineLevel="0" collapsed="false">
      <c r="A59" s="8" t="s">
        <v>351</v>
      </c>
      <c r="B59" s="51" t="n">
        <f aca="false">Debt!G6</f>
        <v>47529</v>
      </c>
    </row>
    <row r="60" customFormat="false" ht="15" hidden="false" customHeight="false" outlineLevel="0" collapsed="false">
      <c r="A60" s="8" t="s">
        <v>529</v>
      </c>
      <c r="B60" s="12" t="n">
        <f aca="false">Debt!E6</f>
        <v>0.05</v>
      </c>
    </row>
    <row r="61" customFormat="false" ht="15" hidden="false" customHeight="false" outlineLevel="0" collapsed="false">
      <c r="A61" s="8" t="s">
        <v>530</v>
      </c>
      <c r="B61" s="52" t="n">
        <f aca="false">YIELD(B58,B59,B60,B57,100,2,0)</f>
        <v>0.121312811555587</v>
      </c>
    </row>
    <row r="62" customFormat="false" ht="15" hidden="false" customHeight="false" outlineLevel="0" collapsed="false">
      <c r="A62" s="8" t="s">
        <v>531</v>
      </c>
      <c r="B62" s="52" t="n">
        <f aca="false">B60*100/B57</f>
        <v>0.0617283950617284</v>
      </c>
    </row>
    <row r="63" customFormat="false" ht="15" hidden="false" customHeight="false" outlineLevel="0" collapsed="false">
      <c r="A63" s="8" t="s">
        <v>532</v>
      </c>
      <c r="B63" s="53" t="n">
        <f aca="false">B53*100-B57</f>
        <v>19</v>
      </c>
      <c r="C63" s="2" t="s">
        <v>533</v>
      </c>
    </row>
    <row r="65" customFormat="false" ht="15" hidden="false" customHeight="false" outlineLevel="0" collapsed="false">
      <c r="A65" s="24" t="s">
        <v>534</v>
      </c>
      <c r="B65" s="25"/>
      <c r="C65" s="25"/>
      <c r="D65" s="25"/>
      <c r="E65" s="25"/>
      <c r="F65" s="25"/>
      <c r="G65" s="25"/>
      <c r="H65" s="25"/>
      <c r="I65" s="25"/>
    </row>
    <row r="66" customFormat="false" ht="15" hidden="false" customHeight="false" outlineLevel="0" collapsed="false">
      <c r="A66" s="3" t="s">
        <v>380</v>
      </c>
      <c r="C66" s="3" t="s">
        <v>535</v>
      </c>
      <c r="D66" s="3" t="s">
        <v>536</v>
      </c>
      <c r="E66" s="3" t="s">
        <v>537</v>
      </c>
      <c r="F66" s="3" t="s">
        <v>538</v>
      </c>
      <c r="G66" s="3" t="s">
        <v>539</v>
      </c>
    </row>
    <row r="67" customFormat="false" ht="15" hidden="false" customHeight="false" outlineLevel="0" collapsed="false">
      <c r="A67" s="8" t="s">
        <v>540</v>
      </c>
      <c r="C67" s="17" t="n">
        <v>2.4</v>
      </c>
      <c r="D67" s="17" t="n">
        <v>139.4</v>
      </c>
      <c r="E67" s="17" t="n">
        <v>9.5</v>
      </c>
      <c r="F67" s="17" t="n">
        <v>618</v>
      </c>
      <c r="G67" s="17" t="n">
        <v>700</v>
      </c>
      <c r="I67" s="2" t="s">
        <v>541</v>
      </c>
    </row>
    <row r="68" customFormat="false" ht="15" hidden="false" customHeight="false" outlineLevel="0" collapsed="false">
      <c r="A68" s="8" t="s">
        <v>542</v>
      </c>
      <c r="C68" s="36" t="n">
        <f aca="false">C30</f>
        <v>9.5</v>
      </c>
      <c r="D68" s="36" t="n">
        <f aca="false">D30</f>
        <v>9.5</v>
      </c>
      <c r="E68" s="36" t="n">
        <f aca="false">E30</f>
        <v>9.5</v>
      </c>
      <c r="F68" s="36" t="n">
        <f aca="false">F30</f>
        <v>420.742170849022</v>
      </c>
      <c r="G68" s="36" t="n">
        <f aca="false">G30</f>
        <v>700</v>
      </c>
    </row>
    <row r="86" customFormat="false" ht="15" hidden="false" customHeight="false" outlineLevel="0" collapsed="false">
      <c r="A86" s="2" t="s">
        <v>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7" min="2" style="0" width="12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544</v>
      </c>
    </row>
    <row r="4" customFormat="false" ht="15" hidden="false" customHeight="false" outlineLevel="0" collapsed="false">
      <c r="A4" s="6" t="s">
        <v>545</v>
      </c>
      <c r="B4" s="7" t="s">
        <v>232</v>
      </c>
      <c r="C4" s="7" t="s">
        <v>103</v>
      </c>
      <c r="D4" s="7" t="s">
        <v>104</v>
      </c>
      <c r="E4" s="7" t="s">
        <v>105</v>
      </c>
      <c r="F4" s="7" t="s">
        <v>106</v>
      </c>
      <c r="G4" s="7" t="s">
        <v>107</v>
      </c>
      <c r="H4" s="7" t="s">
        <v>546</v>
      </c>
    </row>
    <row r="5" customFormat="false" ht="15" hidden="false" customHeight="false" outlineLevel="0" collapsed="false">
      <c r="A5" s="8" t="s">
        <v>547</v>
      </c>
      <c r="B5" s="54" t="n">
        <f aca="false">Model!B45-Model!B53</f>
        <v>0</v>
      </c>
      <c r="C5" s="54" t="n">
        <f aca="false">Model!C45-Model!C53</f>
        <v>0</v>
      </c>
      <c r="D5" s="54" t="n">
        <f aca="false">Model!D45-Model!D53</f>
        <v>0</v>
      </c>
      <c r="E5" s="54" t="n">
        <f aca="false">Model!E45-Model!E53</f>
        <v>0</v>
      </c>
      <c r="F5" s="54" t="n">
        <f aca="false">Model!F45-Model!F53</f>
        <v>0</v>
      </c>
      <c r="G5" s="54" t="n">
        <f aca="false">Model!G45-Model!G53</f>
        <v>0</v>
      </c>
      <c r="H5" s="2" t="s">
        <v>548</v>
      </c>
    </row>
    <row r="6" customFormat="false" ht="15" hidden="false" customHeight="false" outlineLevel="0" collapsed="false">
      <c r="A6" s="15" t="s">
        <v>549</v>
      </c>
      <c r="B6" s="3" t="str">
        <f aca="false">IF(ABS(B5)&lt;0.05,"OK","FAIL")</f>
        <v>OK</v>
      </c>
      <c r="C6" s="3" t="str">
        <f aca="false">IF(ABS(C5)&lt;0.05,"OK","FAIL")</f>
        <v>OK</v>
      </c>
      <c r="D6" s="3" t="str">
        <f aca="false">IF(ABS(D5)&lt;0.05,"OK","FAIL")</f>
        <v>OK</v>
      </c>
      <c r="E6" s="3" t="str">
        <f aca="false">IF(ABS(E5)&lt;0.05,"OK","FAIL")</f>
        <v>OK</v>
      </c>
      <c r="F6" s="3" t="str">
        <f aca="false">IF(ABS(F5)&lt;0.05,"OK","FAIL")</f>
        <v>OK</v>
      </c>
      <c r="G6" s="3" t="str">
        <f aca="false">IF(ABS(G5)&lt;0.05,"OK","FAIL")</f>
        <v>OK</v>
      </c>
    </row>
    <row r="7" customFormat="false" ht="15" hidden="false" customHeight="false" outlineLevel="0" collapsed="false">
      <c r="A7" s="8" t="s">
        <v>550</v>
      </c>
      <c r="B7" s="54" t="n">
        <f aca="false">Model!B79-Model!B37</f>
        <v>0</v>
      </c>
      <c r="C7" s="54" t="n">
        <f aca="false">Model!C79-Model!C37</f>
        <v>0</v>
      </c>
      <c r="D7" s="54" t="n">
        <f aca="false">Model!D79-Model!D37</f>
        <v>0</v>
      </c>
      <c r="E7" s="54" t="n">
        <f aca="false">Model!E79-Model!E37</f>
        <v>0</v>
      </c>
      <c r="F7" s="54" t="n">
        <f aca="false">Model!F79-Model!F37</f>
        <v>0</v>
      </c>
      <c r="G7" s="54" t="n">
        <f aca="false">Model!G79-Model!G37</f>
        <v>0</v>
      </c>
      <c r="H7" s="2"/>
    </row>
    <row r="8" customFormat="false" ht="15" hidden="false" customHeight="false" outlineLevel="0" collapsed="false">
      <c r="A8" s="15" t="s">
        <v>549</v>
      </c>
      <c r="B8" s="3" t="str">
        <f aca="false">IF(ABS(B7)&lt;0.05,"OK","FAIL")</f>
        <v>OK</v>
      </c>
      <c r="C8" s="3" t="str">
        <f aca="false">IF(ABS(C7)&lt;0.05,"OK","FAIL")</f>
        <v>OK</v>
      </c>
      <c r="D8" s="3" t="str">
        <f aca="false">IF(ABS(D7)&lt;0.05,"OK","FAIL")</f>
        <v>OK</v>
      </c>
      <c r="E8" s="3" t="str">
        <f aca="false">IF(ABS(E7)&lt;0.05,"OK","FAIL")</f>
        <v>OK</v>
      </c>
      <c r="F8" s="3" t="str">
        <f aca="false">IF(ABS(F7)&lt;0.05,"OK","FAIL")</f>
        <v>OK</v>
      </c>
      <c r="G8" s="3" t="str">
        <f aca="false">IF(ABS(G7)&lt;0.05,"OK","FAIL")</f>
        <v>OK</v>
      </c>
    </row>
    <row r="9" customFormat="false" ht="15" hidden="false" customHeight="false" outlineLevel="0" collapsed="false">
      <c r="A9" s="8" t="s">
        <v>551</v>
      </c>
      <c r="B9" s="54" t="n">
        <f aca="false">Debt!B59-Debt!B63-Model!B48-Model!B49</f>
        <v>0</v>
      </c>
      <c r="C9" s="54" t="n">
        <f aca="false">Debt!C59-Debt!C63-Model!C48-Model!C49</f>
        <v>0</v>
      </c>
      <c r="D9" s="54" t="n">
        <f aca="false">Debt!D59-Debt!D63-Model!D48-Model!D49</f>
        <v>0</v>
      </c>
      <c r="E9" s="54" t="n">
        <f aca="false">Debt!E59-Debt!E63-Model!E48-Model!E49</f>
        <v>0</v>
      </c>
      <c r="F9" s="54" t="n">
        <f aca="false">Debt!F59-Debt!F63-Model!F48-Model!F49</f>
        <v>0</v>
      </c>
      <c r="G9" s="54" t="n">
        <f aca="false">Debt!G59-Debt!G63-Model!G48-Model!G49</f>
        <v>0</v>
      </c>
      <c r="H9" s="2"/>
    </row>
    <row r="10" customFormat="false" ht="15" hidden="false" customHeight="false" outlineLevel="0" collapsed="false">
      <c r="A10" s="15" t="s">
        <v>549</v>
      </c>
      <c r="B10" s="3" t="str">
        <f aca="false">IF(ABS(B9)&lt;0.05,"OK","FAIL")</f>
        <v>OK</v>
      </c>
      <c r="C10" s="3" t="str">
        <f aca="false">IF(ABS(C9)&lt;0.05,"OK","FAIL")</f>
        <v>OK</v>
      </c>
      <c r="D10" s="3" t="str">
        <f aca="false">IF(ABS(D9)&lt;0.05,"OK","FAIL")</f>
        <v>OK</v>
      </c>
      <c r="E10" s="3" t="str">
        <f aca="false">IF(ABS(E9)&lt;0.05,"OK","FAIL")</f>
        <v>OK</v>
      </c>
      <c r="F10" s="3" t="str">
        <f aca="false">IF(ABS(F9)&lt;0.05,"OK","FAIL")</f>
        <v>OK</v>
      </c>
      <c r="G10" s="3" t="str">
        <f aca="false">IF(ABS(G9)&lt;0.05,"OK","FAIL")</f>
        <v>OK</v>
      </c>
    </row>
    <row r="11" customFormat="false" ht="15" hidden="false" customHeight="false" outlineLevel="0" collapsed="false">
      <c r="A11" s="8" t="s">
        <v>552</v>
      </c>
      <c r="C11" s="54" t="n">
        <f aca="false">Debt!C27+Debt!C30-Debt!C31-Debt!C38-Debt!C51-Model!C37</f>
        <v>0</v>
      </c>
      <c r="D11" s="54" t="n">
        <f aca="false">Debt!D27+Debt!D30-Debt!D31-Debt!D38-Debt!D51-Model!D37</f>
        <v>0</v>
      </c>
      <c r="E11" s="54" t="n">
        <f aca="false">Debt!E27+Debt!E30-Debt!E31-Debt!E38-Debt!E51-Model!E37</f>
        <v>0</v>
      </c>
      <c r="F11" s="54" t="n">
        <f aca="false">Debt!F27+Debt!F30-Debt!F31-Debt!F38-Debt!F51-Model!F37</f>
        <v>0</v>
      </c>
      <c r="G11" s="54" t="n">
        <f aca="false">Debt!G27+Debt!G30-Debt!G31-Debt!G38-Debt!G51-Model!G37</f>
        <v>0</v>
      </c>
      <c r="H11" s="2" t="s">
        <v>553</v>
      </c>
    </row>
    <row r="12" customFormat="false" ht="15" hidden="false" customHeight="false" outlineLevel="0" collapsed="false">
      <c r="A12" s="15" t="s">
        <v>549</v>
      </c>
      <c r="C12" s="3" t="str">
        <f aca="false">IF(ABS(C11)&lt;0.05,"OK","FAIL")</f>
        <v>OK</v>
      </c>
      <c r="D12" s="3" t="str">
        <f aca="false">IF(ABS(D11)&lt;0.05,"OK","FAIL")</f>
        <v>OK</v>
      </c>
      <c r="E12" s="3" t="str">
        <f aca="false">IF(ABS(E11)&lt;0.05,"OK","FAIL")</f>
        <v>OK</v>
      </c>
      <c r="F12" s="3" t="str">
        <f aca="false">IF(ABS(F11)&lt;0.05,"OK","FAIL")</f>
        <v>OK</v>
      </c>
      <c r="G12" s="3" t="str">
        <f aca="false">IF(ABS(G11)&lt;0.05,"OK","FAIL")</f>
        <v>OK</v>
      </c>
    </row>
    <row r="13" customFormat="false" ht="15" hidden="false" customHeight="false" outlineLevel="0" collapsed="false">
      <c r="A13" s="8" t="s">
        <v>554</v>
      </c>
      <c r="C13" s="54" t="n">
        <f aca="false">MAX(0,Debt!C56-Debt!C21)</f>
        <v>0</v>
      </c>
      <c r="D13" s="54" t="n">
        <f aca="false">MAX(0,Debt!D56-Debt!D21)</f>
        <v>0</v>
      </c>
      <c r="E13" s="54" t="n">
        <f aca="false">MAX(0,Debt!E56-Debt!E21)</f>
        <v>0</v>
      </c>
      <c r="F13" s="54" t="n">
        <f aca="false">MAX(0,Debt!F56-Debt!F21)</f>
        <v>0</v>
      </c>
      <c r="G13" s="54" t="n">
        <f aca="false">MAX(0,Debt!G56-Debt!G21)</f>
        <v>0</v>
      </c>
      <c r="H13" s="2"/>
    </row>
    <row r="14" customFormat="false" ht="15" hidden="false" customHeight="false" outlineLevel="0" collapsed="false">
      <c r="A14" s="15" t="s">
        <v>549</v>
      </c>
      <c r="C14" s="3" t="str">
        <f aca="false">IF(ABS(C13)&lt;0.05,"OK","FAIL")</f>
        <v>OK</v>
      </c>
      <c r="D14" s="3" t="str">
        <f aca="false">IF(ABS(D13)&lt;0.05,"OK","FAIL")</f>
        <v>OK</v>
      </c>
      <c r="E14" s="3" t="str">
        <f aca="false">IF(ABS(E13)&lt;0.05,"OK","FAIL")</f>
        <v>OK</v>
      </c>
      <c r="F14" s="3" t="str">
        <f aca="false">IF(ABS(F13)&lt;0.05,"OK","FAIL")</f>
        <v>OK</v>
      </c>
      <c r="G14" s="3" t="str">
        <f aca="false">IF(ABS(G13)&lt;0.05,"OK","FAIL")</f>
        <v>OK</v>
      </c>
    </row>
    <row r="15" customFormat="false" ht="15" hidden="false" customHeight="false" outlineLevel="0" collapsed="false">
      <c r="A15" s="8" t="s">
        <v>555</v>
      </c>
      <c r="C15" s="54" t="n">
        <f aca="false">Model!C10-Model!C14</f>
        <v>0</v>
      </c>
      <c r="D15" s="54" t="n">
        <f aca="false">Model!D10-Model!D14</f>
        <v>0</v>
      </c>
      <c r="E15" s="54" t="n">
        <f aca="false">Model!E10-Model!E14</f>
        <v>0</v>
      </c>
      <c r="F15" s="54" t="n">
        <f aca="false">Model!F10-Model!F14</f>
        <v>0</v>
      </c>
      <c r="G15" s="54" t="n">
        <f aca="false">Model!G10-Model!G14</f>
        <v>0</v>
      </c>
      <c r="H15" s="2"/>
    </row>
    <row r="16" customFormat="false" ht="15" hidden="false" customHeight="false" outlineLevel="0" collapsed="false">
      <c r="A16" s="15" t="s">
        <v>549</v>
      </c>
      <c r="C16" s="3" t="str">
        <f aca="false">IF(ABS(C15)&lt;0.05,"OK","FAIL")</f>
        <v>OK</v>
      </c>
      <c r="D16" s="3" t="str">
        <f aca="false">IF(ABS(D15)&lt;0.05,"OK","FAIL")</f>
        <v>OK</v>
      </c>
      <c r="E16" s="3" t="str">
        <f aca="false">IF(ABS(E15)&lt;0.05,"OK","FAIL")</f>
        <v>OK</v>
      </c>
      <c r="F16" s="3" t="str">
        <f aca="false">IF(ABS(F15)&lt;0.05,"OK","FAIL")</f>
        <v>OK</v>
      </c>
      <c r="G16" s="3" t="str">
        <f aca="false">IF(ABS(G15)&lt;0.05,"OK","FAIL")</f>
        <v>OK</v>
      </c>
    </row>
    <row r="17" customFormat="false" ht="15" hidden="false" customHeight="false" outlineLevel="0" collapsed="false">
      <c r="A17" s="8" t="s">
        <v>556</v>
      </c>
      <c r="B17" s="54" t="n">
        <f aca="false">Debt!B11-Debt!B12</f>
        <v>0</v>
      </c>
      <c r="H17" s="2"/>
    </row>
    <row r="18" customFormat="false" ht="15" hidden="false" customHeight="false" outlineLevel="0" collapsed="false">
      <c r="A18" s="15" t="s">
        <v>549</v>
      </c>
      <c r="B18" s="3" t="str">
        <f aca="false">IF(ABS(B17)&lt;0.05,"OK","FAIL")</f>
        <v>OK</v>
      </c>
    </row>
    <row r="19" customFormat="false" ht="15" hidden="false" customHeight="false" outlineLevel="0" collapsed="false">
      <c r="A19" s="8" t="s">
        <v>557</v>
      </c>
      <c r="B19" s="54" t="n">
        <f aca="false">Debt!C11-Debt!C12</f>
        <v>0</v>
      </c>
      <c r="H19" s="2"/>
    </row>
    <row r="20" customFormat="false" ht="15" hidden="false" customHeight="false" outlineLevel="0" collapsed="false">
      <c r="A20" s="15" t="s">
        <v>549</v>
      </c>
      <c r="B20" s="3" t="str">
        <f aca="false">IF(ABS(B19)&lt;0.05,"OK","FAIL")</f>
        <v>OK</v>
      </c>
    </row>
    <row r="22" customFormat="false" ht="15" hidden="false" customHeight="false" outlineLevel="0" collapsed="false">
      <c r="A22" s="24" t="s">
        <v>558</v>
      </c>
      <c r="B22" s="25"/>
      <c r="C22" s="25"/>
      <c r="D22" s="25"/>
      <c r="E22" s="25"/>
      <c r="F22" s="25"/>
      <c r="G22" s="25"/>
      <c r="H22" s="25"/>
    </row>
    <row r="23" customFormat="false" ht="15" hidden="false" customHeight="false" outlineLevel="0" collapsed="false">
      <c r="A23" s="6"/>
      <c r="B23" s="7" t="s">
        <v>230</v>
      </c>
      <c r="C23" s="7" t="s">
        <v>231</v>
      </c>
      <c r="D23" s="7" t="s">
        <v>232</v>
      </c>
      <c r="E23" s="7" t="s">
        <v>233</v>
      </c>
      <c r="F23" s="7" t="s">
        <v>234</v>
      </c>
      <c r="G23" s="7"/>
      <c r="H23" s="7"/>
    </row>
    <row r="24" customFormat="false" ht="15" hidden="false" customHeight="false" outlineLevel="0" collapsed="false">
      <c r="A24" s="8" t="s">
        <v>559</v>
      </c>
      <c r="B24" s="54" t="n">
        <f aca="false">Historicals!B18-Historicals!B19</f>
        <v>0</v>
      </c>
      <c r="C24" s="54" t="n">
        <f aca="false">Historicals!C18-Historicals!C19</f>
        <v>0</v>
      </c>
      <c r="D24" s="54" t="n">
        <f aca="false">Historicals!D18-Historicals!D19</f>
        <v>0</v>
      </c>
      <c r="E24" s="54" t="n">
        <f aca="false">Historicals!E18-Historicals!E19</f>
        <v>0</v>
      </c>
      <c r="F24" s="54" t="n">
        <f aca="false">Historicals!F18-Historicals!F19</f>
        <v>0</v>
      </c>
      <c r="H24" s="2" t="s">
        <v>560</v>
      </c>
    </row>
    <row r="25" customFormat="false" ht="15" hidden="false" customHeight="false" outlineLevel="0" collapsed="false">
      <c r="A25" s="15" t="s">
        <v>549</v>
      </c>
      <c r="B25" s="3" t="str">
        <f aca="false">IF(ABS(B24)&lt;0.05,"OK","FAIL")</f>
        <v>OK</v>
      </c>
      <c r="C25" s="3" t="str">
        <f aca="false">IF(ABS(C24)&lt;0.05,"OK","FAIL")</f>
        <v>OK</v>
      </c>
      <c r="D25" s="3" t="str">
        <f aca="false">IF(ABS(D24)&lt;0.05,"OK","FAIL")</f>
        <v>OK</v>
      </c>
      <c r="E25" s="3" t="str">
        <f aca="false">IF(ABS(E24)&lt;0.05,"OK","FAIL")</f>
        <v>OK</v>
      </c>
      <c r="F25" s="3" t="str">
        <f aca="false">IF(ABS(F24)&lt;0.05,"OK","FAIL")</f>
        <v>OK</v>
      </c>
    </row>
    <row r="26" customFormat="false" ht="15" hidden="false" customHeight="false" outlineLevel="0" collapsed="false">
      <c r="A26" s="8" t="s">
        <v>561</v>
      </c>
      <c r="B26" s="54" t="n">
        <f aca="false">Historicals!B52-Historicals!B53</f>
        <v>0</v>
      </c>
      <c r="C26" s="54" t="n">
        <f aca="false">Historicals!C52-Historicals!C53</f>
        <v>0</v>
      </c>
      <c r="D26" s="54" t="n">
        <f aca="false">Historicals!D52-Historicals!D53</f>
        <v>0</v>
      </c>
      <c r="F26" s="54" t="n">
        <f aca="false">Historicals!F52-Historicals!F53</f>
        <v>0</v>
      </c>
      <c r="H26" s="2"/>
    </row>
    <row r="27" customFormat="false" ht="15" hidden="false" customHeight="false" outlineLevel="0" collapsed="false">
      <c r="A27" s="15" t="s">
        <v>549</v>
      </c>
      <c r="B27" s="3" t="str">
        <f aca="false">IF(ABS(B26)&lt;0.05,"OK","FAIL")</f>
        <v>OK</v>
      </c>
      <c r="C27" s="3" t="str">
        <f aca="false">IF(ABS(C26)&lt;0.05,"OK","FAIL")</f>
        <v>OK</v>
      </c>
      <c r="D27" s="3" t="str">
        <f aca="false">IF(ABS(D26)&lt;0.05,"OK","FAIL")</f>
        <v>OK</v>
      </c>
      <c r="F27" s="3" t="str">
        <f aca="false">IF(ABS(F26)&lt;0.05,"OK","FAIL")</f>
        <v>OK</v>
      </c>
    </row>
    <row r="28" customFormat="false" ht="15" hidden="false" customHeight="false" outlineLevel="0" collapsed="false">
      <c r="A28" s="8" t="s">
        <v>562</v>
      </c>
      <c r="B28" s="54" t="n">
        <f aca="false">Historicals!B52-Historicals!B61</f>
        <v>0</v>
      </c>
      <c r="C28" s="54" t="n">
        <f aca="false">Historicals!C52-Historicals!C61</f>
        <v>0</v>
      </c>
      <c r="D28" s="54" t="n">
        <f aca="false">Historicals!D52-Historicals!D61</f>
        <v>0</v>
      </c>
      <c r="F28" s="54" t="n">
        <f aca="false">Historicals!F52-Historicals!F61</f>
        <v>0</v>
      </c>
      <c r="H28" s="2"/>
    </row>
    <row r="29" customFormat="false" ht="15" hidden="false" customHeight="false" outlineLevel="0" collapsed="false">
      <c r="A29" s="15" t="s">
        <v>549</v>
      </c>
      <c r="B29" s="3" t="str">
        <f aca="false">IF(ABS(B28)&lt;0.05,"OK","FAIL")</f>
        <v>OK</v>
      </c>
      <c r="C29" s="3" t="str">
        <f aca="false">IF(ABS(C28)&lt;0.05,"OK","FAIL")</f>
        <v>OK</v>
      </c>
      <c r="D29" s="3" t="str">
        <f aca="false">IF(ABS(D28)&lt;0.05,"OK","FAIL")</f>
        <v>OK</v>
      </c>
      <c r="F29" s="3" t="str">
        <f aca="false">IF(ABS(F28)&lt;0.05,"OK","FAIL")</f>
        <v>OK</v>
      </c>
    </row>
    <row r="30" customFormat="false" ht="15" hidden="false" customHeight="false" outlineLevel="0" collapsed="false">
      <c r="A30" s="8" t="s">
        <v>563</v>
      </c>
      <c r="B30" s="54" t="n">
        <f aca="false">Historicals!B82-Historicals!B83</f>
        <v>0</v>
      </c>
      <c r="C30" s="54" t="n">
        <f aca="false">Historicals!C82-Historicals!C83</f>
        <v>0</v>
      </c>
      <c r="D30" s="54" t="n">
        <f aca="false">Historicals!D82-Historicals!D83</f>
        <v>0</v>
      </c>
      <c r="E30" s="54" t="n">
        <f aca="false">Historicals!E82-Historicals!E83</f>
        <v>0</v>
      </c>
      <c r="F30" s="54" t="n">
        <f aca="false">Historicals!F82-Historicals!F83</f>
        <v>0</v>
      </c>
      <c r="H30" s="2" t="s">
        <v>564</v>
      </c>
    </row>
    <row r="31" customFormat="false" ht="15" hidden="false" customHeight="false" outlineLevel="0" collapsed="false">
      <c r="A31" s="15" t="s">
        <v>549</v>
      </c>
      <c r="B31" s="3" t="str">
        <f aca="false">IF(ABS(B30)&lt;0.05,"OK","FAIL")</f>
        <v>OK</v>
      </c>
      <c r="C31" s="3" t="str">
        <f aca="false">IF(ABS(C30)&lt;0.05,"OK","FAIL")</f>
        <v>OK</v>
      </c>
      <c r="D31" s="3" t="str">
        <f aca="false">IF(ABS(D30)&lt;0.05,"OK","FAIL")</f>
        <v>OK</v>
      </c>
      <c r="E31" s="3" t="str">
        <f aca="false">IF(ABS(E30)&lt;0.05,"OK","FAIL")</f>
        <v>OK</v>
      </c>
      <c r="F31" s="3" t="str">
        <f aca="false">IF(ABS(F30)&lt;0.05,"OK","FAIL")</f>
        <v>OK</v>
      </c>
    </row>
    <row r="32" customFormat="false" ht="15" hidden="false" customHeight="false" outlineLevel="0" collapsed="false">
      <c r="A32" s="8" t="s">
        <v>565</v>
      </c>
      <c r="B32" s="54" t="n">
        <f aca="false">Historicals!B34-Historicals!B5</f>
        <v>0</v>
      </c>
      <c r="C32" s="54" t="n">
        <f aca="false">Historicals!C34-Historicals!C5</f>
        <v>0</v>
      </c>
      <c r="D32" s="54" t="n">
        <f aca="false">Historicals!D34-Historicals!D5</f>
        <v>0</v>
      </c>
      <c r="E32" s="54" t="n">
        <f aca="false">Historicals!E34-Historicals!E5</f>
        <v>0</v>
      </c>
      <c r="F32" s="54" t="n">
        <f aca="false">Historicals!F34-Historicals!F5</f>
        <v>0</v>
      </c>
      <c r="H32" s="2"/>
    </row>
    <row r="33" customFormat="false" ht="15" hidden="false" customHeight="false" outlineLevel="0" collapsed="false">
      <c r="A33" s="15" t="s">
        <v>549</v>
      </c>
      <c r="B33" s="3" t="str">
        <f aca="false">IF(ABS(B32)&lt;0.05,"OK","FAIL")</f>
        <v>OK</v>
      </c>
      <c r="C33" s="3" t="str">
        <f aca="false">IF(ABS(C32)&lt;0.05,"OK","FAIL")</f>
        <v>OK</v>
      </c>
      <c r="D33" s="3" t="str">
        <f aca="false">IF(ABS(D32)&lt;0.05,"OK","FAIL")</f>
        <v>OK</v>
      </c>
      <c r="E33" s="3" t="str">
        <f aca="false">IF(ABS(E32)&lt;0.05,"OK","FAIL")</f>
        <v>OK</v>
      </c>
      <c r="F33" s="3" t="str">
        <f aca="false">IF(ABS(F32)&lt;0.05,"OK","FAIL")</f>
        <v>OK</v>
      </c>
    </row>
    <row r="34" customFormat="false" ht="15" hidden="false" customHeight="false" outlineLevel="0" collapsed="false">
      <c r="A34" s="8" t="s">
        <v>566</v>
      </c>
      <c r="B34" s="54" t="n">
        <f aca="false">SUM(Historicals!B36:B40)-Historicals!B5</f>
        <v>0</v>
      </c>
      <c r="C34" s="54" t="n">
        <f aca="false">SUM(Historicals!C36:C40)-Historicals!C5</f>
        <v>0</v>
      </c>
      <c r="D34" s="54" t="n">
        <f aca="false">SUM(Historicals!D36:D40)-Historicals!D5</f>
        <v>0</v>
      </c>
      <c r="E34" s="54" t="n">
        <f aca="false">SUM(Historicals!E36:E40)-Historicals!E5</f>
        <v>0</v>
      </c>
      <c r="F34" s="54" t="n">
        <f aca="false">SUM(Historicals!F36:F40)-Historicals!F5</f>
        <v>0</v>
      </c>
      <c r="H34" s="2"/>
    </row>
    <row r="35" customFormat="false" ht="15" hidden="false" customHeight="false" outlineLevel="0" collapsed="false">
      <c r="A35" s="15" t="s">
        <v>549</v>
      </c>
      <c r="B35" s="3" t="str">
        <f aca="false">IF(ABS(B34)&lt;0.05,"OK","FAIL")</f>
        <v>OK</v>
      </c>
      <c r="C35" s="3" t="str">
        <f aca="false">IF(ABS(C34)&lt;0.05,"OK","FAIL")</f>
        <v>OK</v>
      </c>
      <c r="D35" s="3" t="str">
        <f aca="false">IF(ABS(D34)&lt;0.05,"OK","FAIL")</f>
        <v>OK</v>
      </c>
      <c r="E35" s="3" t="str">
        <f aca="false">IF(ABS(E34)&lt;0.05,"OK","FAIL")</f>
        <v>OK</v>
      </c>
      <c r="F35" s="3" t="str">
        <f aca="false">IF(ABS(F34)&lt;0.05,"OK","FAIL")</f>
        <v>OK</v>
      </c>
    </row>
    <row r="37" customFormat="false" ht="15" hidden="false" customHeight="false" outlineLevel="0" collapsed="false">
      <c r="A37" s="24" t="s">
        <v>567</v>
      </c>
      <c r="B37" s="25"/>
      <c r="C37" s="25"/>
      <c r="D37" s="25"/>
      <c r="E37" s="25"/>
      <c r="F37" s="25"/>
      <c r="G37" s="25"/>
      <c r="H37" s="25"/>
    </row>
    <row r="38" customFormat="false" ht="15" hidden="false" customHeight="false" outlineLevel="0" collapsed="false">
      <c r="A38" s="8" t="s">
        <v>568</v>
      </c>
      <c r="B38" s="17" t="n">
        <v>1015</v>
      </c>
      <c r="C38" s="17" t="n">
        <v>1035</v>
      </c>
      <c r="D38" s="3" t="str">
        <f aca="false">IF(AND(Model!C10&gt;=B38-5,Model!C10&lt;=C38),"OK","REVIEW")</f>
        <v>OK</v>
      </c>
      <c r="H38" s="2" t="s">
        <v>569</v>
      </c>
    </row>
    <row r="39" customFormat="false" ht="15" hidden="false" customHeight="false" outlineLevel="0" collapsed="false">
      <c r="A39" s="8" t="s">
        <v>570</v>
      </c>
      <c r="C39" s="3" t="str">
        <f aca="false">IF(Model!C37&gt;=0,"OK","DEFAULT")</f>
        <v>OK</v>
      </c>
      <c r="D39" s="3" t="str">
        <f aca="false">IF(Model!D37&gt;=0,"OK","DEFAULT")</f>
        <v>OK</v>
      </c>
      <c r="E39" s="3" t="str">
        <f aca="false">IF(Model!E37&gt;=0,"OK","DEFAULT")</f>
        <v>OK</v>
      </c>
      <c r="F39" s="3" t="str">
        <f aca="false">IF(Model!F37&gt;=0,"OK","DEFAULT")</f>
        <v>OK</v>
      </c>
      <c r="G39" s="3" t="str">
        <f aca="false">IF(Model!G37&gt;=0,"OK","DEFAULT")</f>
        <v>OK</v>
      </c>
    </row>
    <row r="40" customFormat="false" ht="15" hidden="false" customHeight="false" outlineLevel="0" collapsed="false">
      <c r="A40" s="8" t="s">
        <v>571</v>
      </c>
      <c r="B40" s="3" t="s">
        <v>572</v>
      </c>
      <c r="H40" s="2" t="s">
        <v>573</v>
      </c>
    </row>
    <row r="42" customFormat="false" ht="15" hidden="false" customHeight="false" outlineLevel="0" collapsed="false">
      <c r="A42" s="55" t="s">
        <v>574</v>
      </c>
      <c r="B42" s="55" t="str">
        <f aca="false">IF(SUMPRODUCT(--((B6:G6)="FAIL"))+SUMPRODUCT(--((B8:G8)="FAIL"))+SUMPRODUCT(--((B10:G10)="FAIL"))+SUMPRODUCT(--((B12:G12)="FAIL"))+SUMPRODUCT(--((B14:G14)="FAIL"))+SUMPRODUCT(--((B16:G16)="FAIL"))+SUMPRODUCT(--((B18:G18)="FAIL"))+SUMPRODUCT(--((B20:G20)="FAIL"))+SUMPRODUCT(--((B25:G25)="FAIL"))+SUMPRODUCT(--((B27:G27)="FAIL"))+SUMPRODUCT(--((B29:G29)="FAIL"))+SUMPRODUCT(--((B31:G31)="FAIL"))+SUMPRODUCT(--((B33:G33)="FAIL"))+SUMPRODUCT(--((B35:G35)="FAIL"))=0,"ALL CHECKS OK","FAIL")</f>
        <v>ALL CHECKS 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2026-10-26T08:40:30Z</dcterms:created>
  <dc:creator>openpyxl</dc:creator>
  <dc:description/>
  <dc:language>en-US</dc:language>
  <cp:lastModifiedBy/>
  <dcterms:modified xsi:type="dcterms:W3CDTF">2026-10-26T04:40:33Z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